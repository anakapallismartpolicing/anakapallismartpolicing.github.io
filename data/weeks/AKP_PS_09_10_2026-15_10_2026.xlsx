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KP SMART POLICING DATA\"/>
    </mc:Choice>
  </mc:AlternateContent>
  <xr:revisionPtr revIDLastSave="0" documentId="8_{11458BD4-E30E-4B2E-993E-D52FCA536AB5}" xr6:coauthVersionLast="47" xr6:coauthVersionMax="47" xr10:uidLastSave="{00000000-0000-0000-0000-000000000000}"/>
  <bookViews>
    <workbookView xWindow="-110" yWindow="-110" windowWidth="19420" windowHeight="11500" xr2:uid="{1D76E8FC-B775-4A31-A396-00FAAAA01D10}"/>
  </bookViews>
  <sheets>
    <sheet name="Sheet1" sheetId="1" r:id="rId1"/>
  </sheets>
  <externalReferences>
    <externalReference r:id="rId2"/>
  </externalReference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5" i="1" l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<sst xmlns="http://schemas.openxmlformats.org/spreadsheetml/2006/main" count="57" uniqueCount="57">
  <si>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</si>
  <si>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</si>
  <si>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</si>
  <si>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</si>
  <si>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</si>
  <si>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</si>
  <si>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</si>
  <si>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</si>
  <si>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</si>
  <si>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</si>
  <si>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</si>
  <si>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>CEIR Score</t>
  </si>
  <si>
    <t>eProsecution</t>
  </si>
  <si>
    <t>FIRs &amp; CS Con</t>
  </si>
  <si>
    <t>eOffice</t>
  </si>
  <si>
    <t xml:space="preserve">APOLIS </t>
  </si>
  <si>
    <t>APOLIS _FP</t>
  </si>
  <si>
    <t>EDAR</t>
  </si>
  <si>
    <t>CCTV360 Usage</t>
  </si>
  <si>
    <t>News360AI</t>
  </si>
  <si>
    <t>eFSL</t>
  </si>
  <si>
    <t>UC3</t>
  </si>
  <si>
    <t>UC4</t>
  </si>
  <si>
    <t>Wt →</t>
  </si>
  <si>
    <t>A.Koduru</t>
  </si>
  <si>
    <t>Anakapalli Rural</t>
  </si>
  <si>
    <t>Anakapalli Town</t>
  </si>
  <si>
    <t>Anakapalli Traffic</t>
  </si>
  <si>
    <t>Atchutapuram</t>
  </si>
  <si>
    <t>Butchiyyapeta</t>
  </si>
  <si>
    <t>Cheedikada</t>
  </si>
  <si>
    <t>Chodavaram</t>
  </si>
  <si>
    <t>Devarapalli</t>
  </si>
  <si>
    <t>Golugonda</t>
  </si>
  <si>
    <t>K.D.Peta</t>
  </si>
  <si>
    <t>K.Kotapadu</t>
  </si>
  <si>
    <t>Kasimkota</t>
  </si>
  <si>
    <t>Kotavurtla</t>
  </si>
  <si>
    <t>Kothakota</t>
  </si>
  <si>
    <t>Mahila UPS, Anakapalli</t>
  </si>
  <si>
    <t>Makavarapalem</t>
  </si>
  <si>
    <t>Munagapaka</t>
  </si>
  <si>
    <t>Nakkapalli</t>
  </si>
  <si>
    <t>Narsipatnam Rural</t>
  </si>
  <si>
    <t>Narsipatnam Town</t>
  </si>
  <si>
    <t>Nathavaram</t>
  </si>
  <si>
    <t>Parawada</t>
  </si>
  <si>
    <t>Payakaraopeta</t>
  </si>
  <si>
    <t>Rambilli</t>
  </si>
  <si>
    <t>Ravikamatham</t>
  </si>
  <si>
    <t>Rolugunta</t>
  </si>
  <si>
    <t>S.Rayavaram</t>
  </si>
  <si>
    <t>Sabbavaram</t>
  </si>
  <si>
    <t>V.Madugula</t>
  </si>
  <si>
    <t>Yelamanchili Rural</t>
  </si>
  <si>
    <t>Yelamanchili Town</t>
  </si>
  <si>
    <t>Yelamanchili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</si>
</sst>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b/>
      <sz val="7"/>
      <color rgb="FF000000"/>
      <name val="Segoe UI"/>
      <family val="2"/>
    </font>
    <font>
      <sz val="10"/>
      <color indexed="8"/>
      <name val="Times New Roman"/>
      <family val="1"/>
    </font>
    <font>
      <b/>
      <sz val="10"/>
      <color rgb="FF14532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tcor\Downloads\SMART_POLICE_RAW_DATA%2015.10.2026.xlsx" TargetMode="External"/><Relationship Id="rId1" Type="http://schemas.openxmlformats.org/officeDocument/2006/relationships/externalLinkPath" Target="file:///C:\Users\itcor\Downloads\SMART_POLICE_RAW_DATA%2015.10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_MEDLEAPR_PME"/>
      <sheetName val="2_MEDLEAPR_MLC"/>
      <sheetName val="3_NATGRID"/>
      <sheetName val="4_DGP_DASH"/>
      <sheetName val="5_CCTNS_TILL"/>
      <sheetName val="6_CCTNS_1_7"/>
      <sheetName val="7_CCTNS_8_15"/>
      <sheetName val="8_ZERO_FIRS"/>
      <sheetName val="9_CITIZEN_PORTAL"/>
      <sheetName val="10_ESAKSHYA"/>
      <sheetName val="11_CEIR"/>
      <sheetName val="12_EPROSEC"/>
      <sheetName val="13_FIR_CS_COURT"/>
      <sheetName val="14_EOFFICE"/>
      <sheetName val="15_APOLIS"/>
      <sheetName val="16_APOLICE_FP"/>
      <sheetName val="17_EDAR"/>
      <sheetName val="18_CCTV_360"/>
      <sheetName val="19_NEWS360AI"/>
      <sheetName val="20_eFSL"/>
      <sheetName val="21_UC3"/>
      <sheetName val="22_UC4"/>
      <sheetName val="Sheet1"/>
    </sheetNames>
    <sheetDataSet>
      <sheetData sheetId="0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PME</v>
          </cell>
          <cell r="E2" t="str">
            <v>No. of Cases Requests Raised</v>
          </cell>
          <cell r="F2" t="str">
            <v>% Requests
Completed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F3" t="str">
            <v>100.00</v>
          </cell>
          <cell r="G3" t="str">
            <v>100.00</v>
          </cell>
          <cell r="H3">
            <v>2.5</v>
          </cell>
        </row>
        <row r="4">
          <cell r="B4" t="str">
            <v>Anakapalli Rural</v>
          </cell>
          <cell r="C4">
            <v>1</v>
          </cell>
          <cell r="D4">
            <v>1</v>
          </cell>
          <cell r="E4">
            <v>1</v>
          </cell>
          <cell r="F4">
            <v>100</v>
          </cell>
          <cell r="G4">
            <v>100</v>
          </cell>
          <cell r="H4">
            <v>2.5</v>
          </cell>
        </row>
        <row r="5">
          <cell r="B5" t="str">
            <v>Anakapalli Town</v>
          </cell>
          <cell r="C5">
            <v>3</v>
          </cell>
          <cell r="D5">
            <v>3</v>
          </cell>
          <cell r="E5">
            <v>3</v>
          </cell>
          <cell r="F5">
            <v>100</v>
          </cell>
          <cell r="G5">
            <v>100</v>
          </cell>
          <cell r="H5">
            <v>2.5</v>
          </cell>
        </row>
        <row r="6">
          <cell r="B6" t="str">
            <v>Anakapalli Traffic</v>
          </cell>
          <cell r="F6" t="str">
            <v>100.00</v>
          </cell>
          <cell r="G6" t="str">
            <v>100.00</v>
          </cell>
          <cell r="H6">
            <v>2.5</v>
          </cell>
        </row>
        <row r="7">
          <cell r="B7" t="str">
            <v>Atchutapuram</v>
          </cell>
          <cell r="F7" t="str">
            <v>100.00</v>
          </cell>
          <cell r="G7" t="str">
            <v>100.00</v>
          </cell>
          <cell r="H7">
            <v>2.5</v>
          </cell>
        </row>
        <row r="8">
          <cell r="B8" t="str">
            <v>Butchiyyapeta</v>
          </cell>
          <cell r="C8">
            <v>1</v>
          </cell>
          <cell r="D8">
            <v>1</v>
          </cell>
          <cell r="E8">
            <v>1</v>
          </cell>
          <cell r="F8">
            <v>100</v>
          </cell>
          <cell r="G8">
            <v>100</v>
          </cell>
          <cell r="H8">
            <v>2.5</v>
          </cell>
        </row>
        <row r="9">
          <cell r="B9" t="str">
            <v>Cheedikada</v>
          </cell>
          <cell r="F9" t="str">
            <v>100.00</v>
          </cell>
          <cell r="G9" t="str">
            <v>100.00</v>
          </cell>
          <cell r="H9">
            <v>2.5</v>
          </cell>
        </row>
        <row r="10">
          <cell r="B10" t="str">
            <v>Chodavaram</v>
          </cell>
          <cell r="F10" t="str">
            <v>100.00</v>
          </cell>
          <cell r="G10" t="str">
            <v>100.00</v>
          </cell>
          <cell r="H10">
            <v>2.5</v>
          </cell>
        </row>
        <row r="11">
          <cell r="B11" t="str">
            <v>Devarapalli</v>
          </cell>
          <cell r="C11">
            <v>1</v>
          </cell>
          <cell r="D11">
            <v>1</v>
          </cell>
          <cell r="E11">
            <v>1</v>
          </cell>
          <cell r="F11">
            <v>100</v>
          </cell>
          <cell r="G11">
            <v>100</v>
          </cell>
          <cell r="H11">
            <v>2.5</v>
          </cell>
        </row>
        <row r="12">
          <cell r="B12" t="str">
            <v>Golugonda</v>
          </cell>
          <cell r="F12" t="str">
            <v>100.00</v>
          </cell>
          <cell r="G12" t="str">
            <v>100.00</v>
          </cell>
          <cell r="H12">
            <v>2.5</v>
          </cell>
        </row>
        <row r="13">
          <cell r="B13" t="str">
            <v>K.D.Peta</v>
          </cell>
          <cell r="F13" t="str">
            <v>100.00</v>
          </cell>
          <cell r="G13" t="str">
            <v>100.00</v>
          </cell>
          <cell r="H13">
            <v>2.5</v>
          </cell>
        </row>
        <row r="14">
          <cell r="B14" t="str">
            <v>K.Kotapadu</v>
          </cell>
          <cell r="F14" t="str">
            <v>100.00</v>
          </cell>
          <cell r="G14" t="str">
            <v>100.00</v>
          </cell>
          <cell r="H14">
            <v>2.5</v>
          </cell>
        </row>
        <row r="15">
          <cell r="B15" t="str">
            <v>Kasimkota</v>
          </cell>
          <cell r="C15">
            <v>1</v>
          </cell>
          <cell r="D15">
            <v>1</v>
          </cell>
          <cell r="E15">
            <v>1</v>
          </cell>
          <cell r="F15">
            <v>100</v>
          </cell>
          <cell r="G15">
            <v>100</v>
          </cell>
          <cell r="H15">
            <v>2.5</v>
          </cell>
        </row>
        <row r="16">
          <cell r="B16" t="str">
            <v>Kotavurtla</v>
          </cell>
          <cell r="C16">
            <v>2</v>
          </cell>
          <cell r="D16">
            <v>2</v>
          </cell>
          <cell r="E16">
            <v>2</v>
          </cell>
          <cell r="F16">
            <v>100</v>
          </cell>
          <cell r="G16">
            <v>100</v>
          </cell>
          <cell r="H16">
            <v>2.5</v>
          </cell>
        </row>
        <row r="17">
          <cell r="B17" t="str">
            <v>Kothakota</v>
          </cell>
          <cell r="F17" t="str">
            <v>100.00</v>
          </cell>
          <cell r="G17" t="str">
            <v>100.00</v>
          </cell>
          <cell r="H17">
            <v>2.5</v>
          </cell>
        </row>
        <row r="18">
          <cell r="B18" t="str">
            <v>Mahila UPS, Anakapalli</v>
          </cell>
          <cell r="F18" t="str">
            <v>100.00</v>
          </cell>
          <cell r="G18" t="str">
            <v>100.00</v>
          </cell>
          <cell r="H18">
            <v>2.5</v>
          </cell>
        </row>
        <row r="19">
          <cell r="B19" t="str">
            <v>Makavarapalem</v>
          </cell>
          <cell r="F19" t="str">
            <v>100.00</v>
          </cell>
          <cell r="G19" t="str">
            <v>100.00</v>
          </cell>
          <cell r="H19">
            <v>2.5</v>
          </cell>
        </row>
        <row r="20">
          <cell r="B20" t="str">
            <v>Munagapaka</v>
          </cell>
          <cell r="F20" t="str">
            <v>100.00</v>
          </cell>
          <cell r="G20" t="str">
            <v>100.00</v>
          </cell>
          <cell r="H20">
            <v>2.5</v>
          </cell>
        </row>
        <row r="21">
          <cell r="B21" t="str">
            <v>Nakkapalli</v>
          </cell>
          <cell r="C21">
            <v>4</v>
          </cell>
          <cell r="D21">
            <v>4</v>
          </cell>
          <cell r="E21">
            <v>4</v>
          </cell>
          <cell r="F21">
            <v>100</v>
          </cell>
          <cell r="G21">
            <v>100</v>
          </cell>
          <cell r="H21">
            <v>2.5</v>
          </cell>
        </row>
        <row r="22">
          <cell r="B22" t="str">
            <v>Narsipatnam Rural</v>
          </cell>
          <cell r="F22" t="str">
            <v>100.00</v>
          </cell>
          <cell r="G22" t="str">
            <v>100.00</v>
          </cell>
          <cell r="H22">
            <v>2.5</v>
          </cell>
        </row>
        <row r="23">
          <cell r="B23" t="str">
            <v>Narsipatnam Town</v>
          </cell>
          <cell r="F23" t="str">
            <v>100.00</v>
          </cell>
          <cell r="G23" t="str">
            <v>100.00</v>
          </cell>
          <cell r="H23">
            <v>2.5</v>
          </cell>
        </row>
        <row r="24">
          <cell r="B24" t="str">
            <v>Nathavaram</v>
          </cell>
          <cell r="F24" t="str">
            <v>100.00</v>
          </cell>
          <cell r="G24" t="str">
            <v>100.00</v>
          </cell>
          <cell r="H24">
            <v>2.5</v>
          </cell>
        </row>
        <row r="25">
          <cell r="B25" t="str">
            <v>Parawada</v>
          </cell>
          <cell r="F25" t="str">
            <v>100.00</v>
          </cell>
          <cell r="G25" t="str">
            <v>100.00</v>
          </cell>
          <cell r="H25">
            <v>2.5</v>
          </cell>
        </row>
        <row r="26">
          <cell r="B26" t="str">
            <v>Payakaraopeta</v>
          </cell>
          <cell r="C26">
            <v>1</v>
          </cell>
          <cell r="D26">
            <v>1</v>
          </cell>
          <cell r="E26">
            <v>1</v>
          </cell>
          <cell r="F26">
            <v>100</v>
          </cell>
          <cell r="G26">
            <v>100</v>
          </cell>
          <cell r="H26">
            <v>2.5</v>
          </cell>
        </row>
        <row r="27">
          <cell r="B27" t="str">
            <v>Rambilli</v>
          </cell>
          <cell r="F27" t="str">
            <v>100.00</v>
          </cell>
          <cell r="G27" t="str">
            <v>100.00</v>
          </cell>
          <cell r="H27">
            <v>2.5</v>
          </cell>
        </row>
        <row r="28">
          <cell r="B28" t="str">
            <v>Ravikamatham</v>
          </cell>
          <cell r="F28" t="str">
            <v>100.00</v>
          </cell>
          <cell r="G28" t="str">
            <v>100.00</v>
          </cell>
          <cell r="H28">
            <v>2.5</v>
          </cell>
        </row>
        <row r="29">
          <cell r="B29" t="str">
            <v>Rolugunta</v>
          </cell>
          <cell r="F29" t="str">
            <v>100.00</v>
          </cell>
          <cell r="G29" t="str">
            <v>100.00</v>
          </cell>
          <cell r="H29">
            <v>2.5</v>
          </cell>
        </row>
        <row r="30">
          <cell r="B30" t="str">
            <v>S.Rayavaram</v>
          </cell>
          <cell r="C30">
            <v>2</v>
          </cell>
          <cell r="D30">
            <v>2</v>
          </cell>
          <cell r="E30">
            <v>2</v>
          </cell>
          <cell r="F30">
            <v>100</v>
          </cell>
          <cell r="G30">
            <v>100</v>
          </cell>
          <cell r="H30">
            <v>2.5</v>
          </cell>
        </row>
        <row r="31">
          <cell r="B31" t="str">
            <v>Sabbavaram</v>
          </cell>
          <cell r="C31">
            <v>1</v>
          </cell>
          <cell r="D31">
            <v>1</v>
          </cell>
          <cell r="E31">
            <v>1</v>
          </cell>
          <cell r="F31">
            <v>100</v>
          </cell>
          <cell r="G31">
            <v>100</v>
          </cell>
          <cell r="H31">
            <v>2.5</v>
          </cell>
        </row>
        <row r="32">
          <cell r="B32" t="str">
            <v>V.Madugula</v>
          </cell>
          <cell r="F32" t="str">
            <v>100.00</v>
          </cell>
          <cell r="G32" t="str">
            <v>100.00</v>
          </cell>
          <cell r="H32">
            <v>2.5</v>
          </cell>
        </row>
        <row r="33">
          <cell r="B33" t="str">
            <v>Yelamanchili Rural</v>
          </cell>
          <cell r="F33" t="str">
            <v>100.00</v>
          </cell>
          <cell r="G33" t="str">
            <v>100.00</v>
          </cell>
          <cell r="H33">
            <v>2.5</v>
          </cell>
        </row>
        <row r="34">
          <cell r="B34" t="str">
            <v>Yelamanchili Town</v>
          </cell>
          <cell r="F34" t="str">
            <v>100.00</v>
          </cell>
          <cell r="G34" t="str">
            <v>100.00</v>
          </cell>
          <cell r="H34">
            <v>2.5</v>
          </cell>
        </row>
        <row r="35">
          <cell r="B35" t="str">
            <v>Yelamanchili Traffic</v>
          </cell>
          <cell r="F35" t="str">
            <v>100.00</v>
          </cell>
          <cell r="G35" t="str">
            <v>100.00</v>
          </cell>
          <cell r="H35">
            <v>2.5</v>
          </cell>
        </row>
        <row r="36">
          <cell r="C36">
            <v>17</v>
          </cell>
          <cell r="D36">
            <v>17</v>
          </cell>
          <cell r="E36">
            <v>17</v>
          </cell>
          <cell r="F36">
            <v>100</v>
          </cell>
          <cell r="G36">
            <v>100</v>
          </cell>
          <cell r="H36">
            <v>2.5</v>
          </cell>
        </row>
      </sheetData>
      <sheetData sheetId="1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MLC</v>
          </cell>
          <cell r="E2" t="str">
            <v>No. of Cases Requests Raised</v>
          </cell>
          <cell r="F2" t="str">
            <v>% Requests</v>
          </cell>
          <cell r="G2" t="str">
            <v>Raw 
Value</v>
          </cell>
          <cell r="H2" t="str">
            <v>Marks</v>
          </cell>
        </row>
        <row r="3">
          <cell r="B3" t="str">
            <v>A.Koduru</v>
          </cell>
          <cell r="F3" t="str">
            <v>100.00</v>
          </cell>
          <cell r="G3" t="str">
            <v>100.00</v>
          </cell>
          <cell r="H3">
            <v>2.5</v>
          </cell>
        </row>
        <row r="4">
          <cell r="B4" t="str">
            <v>Anakapalli Rural</v>
          </cell>
          <cell r="F4" t="str">
            <v>100.00</v>
          </cell>
          <cell r="G4" t="str">
            <v>100.00</v>
          </cell>
          <cell r="H4">
            <v>2.5</v>
          </cell>
        </row>
        <row r="5">
          <cell r="B5" t="str">
            <v>Anakapalli Town</v>
          </cell>
          <cell r="C5">
            <v>1</v>
          </cell>
          <cell r="D5">
            <v>1</v>
          </cell>
          <cell r="E5">
            <v>1</v>
          </cell>
          <cell r="F5">
            <v>100</v>
          </cell>
          <cell r="G5">
            <v>100</v>
          </cell>
          <cell r="H5">
            <v>2.5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1</v>
          </cell>
          <cell r="F6">
            <v>100</v>
          </cell>
          <cell r="G6">
            <v>100</v>
          </cell>
          <cell r="H6">
            <v>2.5</v>
          </cell>
        </row>
        <row r="7">
          <cell r="B7" t="str">
            <v>Atchutapuram</v>
          </cell>
          <cell r="C7">
            <v>1</v>
          </cell>
          <cell r="D7">
            <v>1</v>
          </cell>
          <cell r="E7">
            <v>1</v>
          </cell>
          <cell r="F7">
            <v>100</v>
          </cell>
          <cell r="G7">
            <v>100</v>
          </cell>
          <cell r="H7">
            <v>2.5</v>
          </cell>
        </row>
        <row r="8">
          <cell r="B8" t="str">
            <v>Butchiyyapeta</v>
          </cell>
          <cell r="C8">
            <v>5</v>
          </cell>
          <cell r="D8">
            <v>5</v>
          </cell>
          <cell r="E8">
            <v>5</v>
          </cell>
          <cell r="F8">
            <v>100</v>
          </cell>
          <cell r="G8">
            <v>100</v>
          </cell>
          <cell r="H8">
            <v>2.5</v>
          </cell>
        </row>
        <row r="9">
          <cell r="B9" t="str">
            <v>Cheedikada</v>
          </cell>
          <cell r="F9" t="str">
            <v>100.00</v>
          </cell>
          <cell r="G9" t="str">
            <v>100.00</v>
          </cell>
          <cell r="H9">
            <v>2.5</v>
          </cell>
        </row>
        <row r="10">
          <cell r="B10" t="str">
            <v>Chodavaram</v>
          </cell>
          <cell r="F10" t="str">
            <v>100.00</v>
          </cell>
          <cell r="G10" t="str">
            <v>100.00</v>
          </cell>
          <cell r="H10">
            <v>2.5</v>
          </cell>
        </row>
        <row r="11">
          <cell r="B11" t="str">
            <v>Devarapalli</v>
          </cell>
          <cell r="F11" t="str">
            <v>100.00</v>
          </cell>
          <cell r="G11" t="str">
            <v>100.00</v>
          </cell>
          <cell r="H11">
            <v>2.5</v>
          </cell>
        </row>
        <row r="12">
          <cell r="B12" t="str">
            <v>Golugonda</v>
          </cell>
          <cell r="F12" t="str">
            <v>100.00</v>
          </cell>
          <cell r="G12" t="str">
            <v>100.00</v>
          </cell>
          <cell r="H12">
            <v>2.5</v>
          </cell>
        </row>
        <row r="13">
          <cell r="B13" t="str">
            <v>K.D.Peta</v>
          </cell>
          <cell r="F13" t="str">
            <v>100.00</v>
          </cell>
          <cell r="G13" t="str">
            <v>100.00</v>
          </cell>
          <cell r="H13">
            <v>2.5</v>
          </cell>
        </row>
        <row r="14">
          <cell r="B14" t="str">
            <v>K.Kotapadu</v>
          </cell>
          <cell r="F14" t="str">
            <v>100.00</v>
          </cell>
          <cell r="G14" t="str">
            <v>100.00</v>
          </cell>
          <cell r="H14">
            <v>2.5</v>
          </cell>
        </row>
        <row r="15">
          <cell r="B15" t="str">
            <v>Kasimkota</v>
          </cell>
          <cell r="C15">
            <v>1</v>
          </cell>
          <cell r="D15">
            <v>1</v>
          </cell>
          <cell r="E15">
            <v>1</v>
          </cell>
          <cell r="F15">
            <v>100</v>
          </cell>
          <cell r="G15">
            <v>100</v>
          </cell>
          <cell r="H15">
            <v>2.5</v>
          </cell>
        </row>
        <row r="16">
          <cell r="B16" t="str">
            <v>Kotavurtla</v>
          </cell>
          <cell r="F16" t="str">
            <v>100.00</v>
          </cell>
          <cell r="G16" t="str">
            <v>100.00</v>
          </cell>
          <cell r="H16">
            <v>2.5</v>
          </cell>
        </row>
        <row r="17">
          <cell r="B17" t="str">
            <v>Kothakota</v>
          </cell>
          <cell r="F17" t="str">
            <v>100.00</v>
          </cell>
          <cell r="G17" t="str">
            <v>100.00</v>
          </cell>
          <cell r="H17">
            <v>2.5</v>
          </cell>
        </row>
        <row r="18">
          <cell r="B18" t="str">
            <v>Mahila UPS, Anakapalli</v>
          </cell>
          <cell r="F18" t="str">
            <v>100.00</v>
          </cell>
          <cell r="G18" t="str">
            <v>100.00</v>
          </cell>
          <cell r="H18">
            <v>2.5</v>
          </cell>
        </row>
        <row r="19">
          <cell r="B19" t="str">
            <v>Makavarapalem</v>
          </cell>
          <cell r="F19" t="str">
            <v>100.00</v>
          </cell>
          <cell r="G19" t="str">
            <v>100.00</v>
          </cell>
          <cell r="H19">
            <v>2.5</v>
          </cell>
        </row>
        <row r="20">
          <cell r="B20" t="str">
            <v>Munagapaka</v>
          </cell>
          <cell r="F20" t="str">
            <v>100.00</v>
          </cell>
          <cell r="G20" t="str">
            <v>100.00</v>
          </cell>
          <cell r="H20">
            <v>2.5</v>
          </cell>
        </row>
        <row r="21">
          <cell r="B21" t="str">
            <v>Nakkapalli</v>
          </cell>
          <cell r="F21" t="str">
            <v>100.00</v>
          </cell>
          <cell r="G21" t="str">
            <v>100.00</v>
          </cell>
          <cell r="H21">
            <v>2.5</v>
          </cell>
        </row>
        <row r="22">
          <cell r="B22" t="str">
            <v>Narsipatnam Rural</v>
          </cell>
          <cell r="F22" t="str">
            <v>100.00</v>
          </cell>
          <cell r="G22" t="str">
            <v>100.00</v>
          </cell>
          <cell r="H22">
            <v>2.5</v>
          </cell>
        </row>
        <row r="23">
          <cell r="B23" t="str">
            <v>Narsipatnam Town</v>
          </cell>
          <cell r="F23" t="str">
            <v>100.00</v>
          </cell>
          <cell r="G23" t="str">
            <v>100.00</v>
          </cell>
          <cell r="H23">
            <v>2.5</v>
          </cell>
        </row>
        <row r="24">
          <cell r="B24" t="str">
            <v>Nathavaram</v>
          </cell>
          <cell r="F24" t="str">
            <v>100.00</v>
          </cell>
          <cell r="G24" t="str">
            <v>100.00</v>
          </cell>
          <cell r="H24">
            <v>2.5</v>
          </cell>
        </row>
        <row r="25">
          <cell r="B25" t="str">
            <v>Parawada</v>
          </cell>
          <cell r="C25">
            <v>2</v>
          </cell>
          <cell r="D25">
            <v>2</v>
          </cell>
          <cell r="E25">
            <v>2</v>
          </cell>
          <cell r="F25">
            <v>100</v>
          </cell>
          <cell r="G25">
            <v>100</v>
          </cell>
          <cell r="H25">
            <v>2.5</v>
          </cell>
        </row>
        <row r="26">
          <cell r="B26" t="str">
            <v>Payakaraopeta</v>
          </cell>
          <cell r="F26" t="str">
            <v>100.00</v>
          </cell>
          <cell r="G26" t="str">
            <v>100.00</v>
          </cell>
          <cell r="H26">
            <v>2.5</v>
          </cell>
        </row>
        <row r="27">
          <cell r="B27" t="str">
            <v>Rambilli</v>
          </cell>
          <cell r="C27">
            <v>1</v>
          </cell>
          <cell r="D27">
            <v>1</v>
          </cell>
          <cell r="E27">
            <v>1</v>
          </cell>
          <cell r="F27">
            <v>100</v>
          </cell>
          <cell r="G27">
            <v>100</v>
          </cell>
          <cell r="H27">
            <v>2.5</v>
          </cell>
        </row>
        <row r="28">
          <cell r="B28" t="str">
            <v>Ravikamatham</v>
          </cell>
          <cell r="F28" t="str">
            <v>100.00</v>
          </cell>
          <cell r="G28" t="str">
            <v>100.00</v>
          </cell>
          <cell r="H28">
            <v>2.5</v>
          </cell>
        </row>
        <row r="29">
          <cell r="B29" t="str">
            <v>Rolugunta</v>
          </cell>
          <cell r="F29" t="str">
            <v>100.00</v>
          </cell>
          <cell r="G29" t="str">
            <v>100.00</v>
          </cell>
          <cell r="H29">
            <v>2.5</v>
          </cell>
        </row>
        <row r="30">
          <cell r="B30" t="str">
            <v>S.Rayavaram</v>
          </cell>
          <cell r="F30" t="str">
            <v>100.00</v>
          </cell>
          <cell r="G30" t="str">
            <v>100.00</v>
          </cell>
          <cell r="H30">
            <v>2.5</v>
          </cell>
        </row>
        <row r="31">
          <cell r="B31" t="str">
            <v>Sabbavaram</v>
          </cell>
          <cell r="C31">
            <v>1</v>
          </cell>
          <cell r="D31">
            <v>1</v>
          </cell>
          <cell r="E31">
            <v>1</v>
          </cell>
          <cell r="F31">
            <v>100</v>
          </cell>
          <cell r="G31">
            <v>100</v>
          </cell>
          <cell r="H31">
            <v>2.5</v>
          </cell>
        </row>
        <row r="32">
          <cell r="B32" t="str">
            <v>V.Madugula</v>
          </cell>
          <cell r="F32" t="str">
            <v>100.00</v>
          </cell>
          <cell r="G32" t="str">
            <v>100.00</v>
          </cell>
          <cell r="H32">
            <v>2.5</v>
          </cell>
        </row>
        <row r="33">
          <cell r="B33" t="str">
            <v>Yelamanchili Rural</v>
          </cell>
          <cell r="C33">
            <v>2</v>
          </cell>
          <cell r="D33">
            <v>2</v>
          </cell>
          <cell r="E33">
            <v>2</v>
          </cell>
          <cell r="F33">
            <v>100</v>
          </cell>
          <cell r="G33">
            <v>100</v>
          </cell>
          <cell r="H33">
            <v>2.5</v>
          </cell>
        </row>
        <row r="34">
          <cell r="B34" t="str">
            <v>Yelamanchili Town</v>
          </cell>
          <cell r="F34" t="str">
            <v>100.00</v>
          </cell>
          <cell r="G34" t="str">
            <v>100.00</v>
          </cell>
          <cell r="H34">
            <v>2.5</v>
          </cell>
        </row>
        <row r="35">
          <cell r="B35" t="str">
            <v>Yelamanchili Traffic</v>
          </cell>
          <cell r="F35" t="str">
            <v>100.00</v>
          </cell>
          <cell r="G35" t="str">
            <v>100.00</v>
          </cell>
          <cell r="H35">
            <v>2.5</v>
          </cell>
        </row>
        <row r="36">
          <cell r="C36">
            <v>15</v>
          </cell>
          <cell r="D36">
            <v>15</v>
          </cell>
          <cell r="E36">
            <v>15</v>
          </cell>
          <cell r="F36">
            <v>100</v>
          </cell>
          <cell r="G36">
            <v>100</v>
          </cell>
          <cell r="H36">
            <v>2.5</v>
          </cell>
        </row>
      </sheetData>
      <sheetData sheetId="2">
        <row r="2">
          <cell r="B2" t="str">
            <v>PS NAME</v>
          </cell>
          <cell r="C2" t="str">
            <v>Total Gandiva searches</v>
          </cell>
          <cell r="D2" t="str">
            <v>Total Sudarshan searches</v>
          </cell>
          <cell r="E2" t="str">
            <v>Gandiva
Raw Value</v>
          </cell>
          <cell r="F2" t="str">
            <v>Sudharshan Raw Value</v>
          </cell>
          <cell r="G2" t="str">
            <v>NATGRID
Raw Value</v>
          </cell>
          <cell r="H2" t="str">
            <v>Marks</v>
          </cell>
        </row>
        <row r="3">
          <cell r="B3" t="str">
            <v>A.Koduru</v>
          </cell>
          <cell r="C3" t="str">
            <v>NA</v>
          </cell>
          <cell r="D3" t="str">
            <v>NA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</row>
        <row r="4">
          <cell r="B4" t="str">
            <v>Anakapalli Rural</v>
          </cell>
          <cell r="C4" t="str">
            <v>NA</v>
          </cell>
          <cell r="D4" t="str">
            <v>NA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B5" t="str">
            <v>Anakapalli Town</v>
          </cell>
          <cell r="C5" t="str">
            <v>NA</v>
          </cell>
          <cell r="D5" t="str">
            <v>NA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B6" t="str">
            <v>Anakapalli Traffic</v>
          </cell>
          <cell r="C6" t="str">
            <v>NA</v>
          </cell>
          <cell r="D6" t="str">
            <v>NA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Atchutapuram</v>
          </cell>
          <cell r="C7" t="str">
            <v>NA</v>
          </cell>
          <cell r="D7" t="str">
            <v>NA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Butchiyyapeta</v>
          </cell>
          <cell r="C8" t="str">
            <v>NA</v>
          </cell>
          <cell r="D8" t="str">
            <v>NA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Cheedikada</v>
          </cell>
          <cell r="C9" t="str">
            <v>NA</v>
          </cell>
          <cell r="D9" t="str">
            <v>NA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Chodavaram</v>
          </cell>
          <cell r="C10" t="str">
            <v>NA</v>
          </cell>
          <cell r="D10" t="str">
            <v>NA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B11" t="str">
            <v>Devarapalli</v>
          </cell>
          <cell r="C11" t="str">
            <v>NA</v>
          </cell>
          <cell r="D11" t="str">
            <v>NA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B12" t="str">
            <v>Golugonda</v>
          </cell>
          <cell r="C12" t="str">
            <v>NA</v>
          </cell>
          <cell r="D12" t="str">
            <v>NA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K.D.Peta</v>
          </cell>
          <cell r="C13" t="str">
            <v>NA</v>
          </cell>
          <cell r="D13" t="str">
            <v>NA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B14" t="str">
            <v>K.Kotapadu</v>
          </cell>
          <cell r="C14" t="str">
            <v>NA</v>
          </cell>
          <cell r="D14" t="str">
            <v>NA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Kasimkota</v>
          </cell>
          <cell r="C15" t="str">
            <v>NA</v>
          </cell>
          <cell r="D15" t="str">
            <v>NA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Kotavurtla</v>
          </cell>
          <cell r="C16" t="str">
            <v>NA</v>
          </cell>
          <cell r="D16" t="str">
            <v>NA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 t="str">
            <v>Kothakota</v>
          </cell>
          <cell r="C17" t="str">
            <v>NA</v>
          </cell>
          <cell r="D17" t="str">
            <v>NA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B18" t="str">
            <v>Mahila UPS, Anakapalli</v>
          </cell>
          <cell r="C18" t="str">
            <v>NA</v>
          </cell>
          <cell r="D18" t="str">
            <v>NA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B19" t="str">
            <v>Makavarapalem</v>
          </cell>
          <cell r="C19" t="str">
            <v>NA</v>
          </cell>
          <cell r="D19" t="str">
            <v>NA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Munagapaka</v>
          </cell>
          <cell r="C20" t="str">
            <v>NA</v>
          </cell>
          <cell r="D20" t="str">
            <v>NA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Nakkapalli</v>
          </cell>
          <cell r="C21" t="str">
            <v>NA</v>
          </cell>
          <cell r="D21" t="str">
            <v>NA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Narsipatnam Rural</v>
          </cell>
          <cell r="C22" t="str">
            <v>NA</v>
          </cell>
          <cell r="D22" t="str">
            <v>NA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Narsipatnam Town</v>
          </cell>
          <cell r="C23" t="str">
            <v>NA</v>
          </cell>
          <cell r="D23" t="str">
            <v>NA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Nathavaram</v>
          </cell>
          <cell r="C24" t="str">
            <v>NA</v>
          </cell>
          <cell r="D24" t="str">
            <v>NA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Parawada</v>
          </cell>
          <cell r="C25" t="str">
            <v>NA</v>
          </cell>
          <cell r="D25" t="str">
            <v>NA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Payakaraopeta</v>
          </cell>
          <cell r="C26" t="str">
            <v>NA</v>
          </cell>
          <cell r="D26" t="str">
            <v>NA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Rambilli</v>
          </cell>
          <cell r="C27" t="str">
            <v>NA</v>
          </cell>
          <cell r="D27" t="str">
            <v>NA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Ravikamatham</v>
          </cell>
          <cell r="C28" t="str">
            <v>NA</v>
          </cell>
          <cell r="D28" t="str">
            <v>NA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Rolugunta</v>
          </cell>
          <cell r="C29" t="str">
            <v>NA</v>
          </cell>
          <cell r="D29" t="str">
            <v>NA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S.Rayavaram</v>
          </cell>
          <cell r="C30" t="str">
            <v>NA</v>
          </cell>
          <cell r="D30" t="str">
            <v>NA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Sabbavaram</v>
          </cell>
          <cell r="C31" t="str">
            <v>NA</v>
          </cell>
          <cell r="D31" t="str">
            <v>NA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V.Madugula</v>
          </cell>
          <cell r="C32" t="str">
            <v>NA</v>
          </cell>
          <cell r="D32" t="str">
            <v>NA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Yelamanchili Rural</v>
          </cell>
          <cell r="C33" t="str">
            <v>NA</v>
          </cell>
          <cell r="D33" t="str">
            <v>NA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Yelamanchili Town</v>
          </cell>
          <cell r="C34" t="str">
            <v>NA</v>
          </cell>
          <cell r="D34" t="str">
            <v>NA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Yelamanchili Traffic</v>
          </cell>
          <cell r="C35" t="str">
            <v>NA</v>
          </cell>
          <cell r="D35" t="str">
            <v>NA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</sheetData>
      <sheetData sheetId="3">
        <row r="2">
          <cell r="B2" t="str">
            <v>Police Station</v>
          </cell>
          <cell r="C2" t="str">
            <v>SHO  Remarks</v>
          </cell>
          <cell r="D2" t="str">
            <v>RAW Value</v>
          </cell>
          <cell r="E2" t="str">
            <v>Marks</v>
          </cell>
        </row>
        <row r="3">
          <cell r="B3" t="str">
            <v>A.Koduru</v>
          </cell>
          <cell r="C3" t="str">
            <v>Submitted</v>
          </cell>
          <cell r="D3">
            <v>100</v>
          </cell>
          <cell r="E3">
            <v>2.5</v>
          </cell>
        </row>
        <row r="4">
          <cell r="B4" t="str">
            <v>Anakapalli Rural</v>
          </cell>
          <cell r="C4" t="str">
            <v>Submitted</v>
          </cell>
          <cell r="D4">
            <v>100</v>
          </cell>
          <cell r="E4">
            <v>2.5</v>
          </cell>
        </row>
        <row r="5">
          <cell r="B5" t="str">
            <v>Anakapalli Town</v>
          </cell>
          <cell r="C5" t="str">
            <v>Submitted</v>
          </cell>
          <cell r="D5">
            <v>100</v>
          </cell>
          <cell r="E5">
            <v>2.5</v>
          </cell>
        </row>
        <row r="6">
          <cell r="B6" t="str">
            <v>Anakapalli Traffic</v>
          </cell>
          <cell r="C6" t="str">
            <v>Submitted</v>
          </cell>
          <cell r="D6">
            <v>100</v>
          </cell>
          <cell r="E6">
            <v>2.5</v>
          </cell>
        </row>
        <row r="7">
          <cell r="B7" t="str">
            <v>Atchutapuram</v>
          </cell>
          <cell r="C7" t="str">
            <v>Submitted</v>
          </cell>
          <cell r="D7">
            <v>100</v>
          </cell>
          <cell r="E7">
            <v>2.5</v>
          </cell>
        </row>
        <row r="8">
          <cell r="B8" t="str">
            <v>Butchiyyapeta</v>
          </cell>
          <cell r="C8" t="str">
            <v>Submitted</v>
          </cell>
          <cell r="D8">
            <v>100</v>
          </cell>
          <cell r="E8">
            <v>2.5</v>
          </cell>
        </row>
        <row r="9">
          <cell r="B9" t="str">
            <v>Cheedikada</v>
          </cell>
          <cell r="C9" t="str">
            <v>Submitted</v>
          </cell>
          <cell r="D9">
            <v>100</v>
          </cell>
          <cell r="E9">
            <v>2.5</v>
          </cell>
        </row>
        <row r="10">
          <cell r="B10" t="str">
            <v>Chodavaram</v>
          </cell>
          <cell r="C10" t="str">
            <v>Submitted</v>
          </cell>
          <cell r="D10">
            <v>100</v>
          </cell>
          <cell r="E10">
            <v>2.5</v>
          </cell>
        </row>
        <row r="11">
          <cell r="B11" t="str">
            <v>Devarapalli</v>
          </cell>
          <cell r="C11" t="str">
            <v>Submitted</v>
          </cell>
          <cell r="D11">
            <v>100</v>
          </cell>
          <cell r="E11">
            <v>2.5</v>
          </cell>
        </row>
        <row r="12">
          <cell r="B12" t="str">
            <v>Golugonda</v>
          </cell>
          <cell r="C12" t="str">
            <v>Submitted</v>
          </cell>
          <cell r="D12">
            <v>100</v>
          </cell>
          <cell r="E12">
            <v>2.5</v>
          </cell>
        </row>
        <row r="13">
          <cell r="B13" t="str">
            <v>K.D.Peta</v>
          </cell>
          <cell r="C13" t="str">
            <v>Submitted</v>
          </cell>
          <cell r="D13">
            <v>100</v>
          </cell>
          <cell r="E13">
            <v>2.5</v>
          </cell>
        </row>
        <row r="14">
          <cell r="B14" t="str">
            <v>K.Kotapadu</v>
          </cell>
          <cell r="C14" t="str">
            <v>Submitted</v>
          </cell>
          <cell r="D14">
            <v>100</v>
          </cell>
          <cell r="E14">
            <v>2.5</v>
          </cell>
        </row>
        <row r="15">
          <cell r="B15" t="str">
            <v>Kasimkota</v>
          </cell>
          <cell r="C15" t="str">
            <v>Submitted</v>
          </cell>
          <cell r="D15">
            <v>100</v>
          </cell>
          <cell r="E15">
            <v>2.5</v>
          </cell>
        </row>
        <row r="16">
          <cell r="B16" t="str">
            <v>Kotavurtla</v>
          </cell>
          <cell r="C16" t="str">
            <v>Submitted</v>
          </cell>
          <cell r="D16">
            <v>100</v>
          </cell>
          <cell r="E16">
            <v>2.5</v>
          </cell>
        </row>
        <row r="17">
          <cell r="B17" t="str">
            <v>Kothakota</v>
          </cell>
          <cell r="C17" t="str">
            <v>Submitted</v>
          </cell>
          <cell r="D17">
            <v>100</v>
          </cell>
          <cell r="E17">
            <v>2.5</v>
          </cell>
        </row>
        <row r="18">
          <cell r="B18" t="str">
            <v>Mahila UPS, Anakapalli</v>
          </cell>
          <cell r="C18" t="str">
            <v>Submitted</v>
          </cell>
          <cell r="D18">
            <v>100</v>
          </cell>
          <cell r="E18">
            <v>2.5</v>
          </cell>
        </row>
        <row r="19">
          <cell r="B19" t="str">
            <v>Makavarapalem</v>
          </cell>
          <cell r="C19" t="str">
            <v>Submitted</v>
          </cell>
          <cell r="D19">
            <v>100</v>
          </cell>
          <cell r="E19">
            <v>2.5</v>
          </cell>
        </row>
        <row r="20">
          <cell r="B20" t="str">
            <v>Munagapaka</v>
          </cell>
          <cell r="C20" t="str">
            <v>Submitted</v>
          </cell>
          <cell r="D20">
            <v>100</v>
          </cell>
          <cell r="E20">
            <v>2.5</v>
          </cell>
        </row>
        <row r="21">
          <cell r="B21" t="str">
            <v>Nakkapalli</v>
          </cell>
          <cell r="C21" t="str">
            <v>Submitted</v>
          </cell>
          <cell r="D21">
            <v>100</v>
          </cell>
          <cell r="E21">
            <v>2.5</v>
          </cell>
        </row>
        <row r="22">
          <cell r="B22" t="str">
            <v>Narsipatnam Rural</v>
          </cell>
          <cell r="C22" t="str">
            <v>Submitted</v>
          </cell>
          <cell r="D22">
            <v>100</v>
          </cell>
          <cell r="E22">
            <v>2.5</v>
          </cell>
        </row>
        <row r="23">
          <cell r="B23" t="str">
            <v>Narsipatnam Town</v>
          </cell>
          <cell r="C23" t="str">
            <v>Submitted</v>
          </cell>
          <cell r="D23">
            <v>100</v>
          </cell>
          <cell r="E23">
            <v>2.5</v>
          </cell>
        </row>
        <row r="24">
          <cell r="B24" t="str">
            <v>Nathavaram</v>
          </cell>
          <cell r="C24" t="str">
            <v>Submitted</v>
          </cell>
          <cell r="D24">
            <v>100</v>
          </cell>
          <cell r="E24">
            <v>2.5</v>
          </cell>
        </row>
        <row r="25">
          <cell r="B25" t="str">
            <v>Parawada</v>
          </cell>
          <cell r="C25" t="str">
            <v>Submitted</v>
          </cell>
          <cell r="D25">
            <v>100</v>
          </cell>
          <cell r="E25">
            <v>2.5</v>
          </cell>
        </row>
        <row r="26">
          <cell r="B26" t="str">
            <v>Payakaraopeta</v>
          </cell>
          <cell r="C26" t="str">
            <v>Submitted</v>
          </cell>
          <cell r="D26">
            <v>100</v>
          </cell>
          <cell r="E26">
            <v>2.5</v>
          </cell>
        </row>
        <row r="27">
          <cell r="B27" t="str">
            <v>Rambilli</v>
          </cell>
          <cell r="C27" t="str">
            <v>Submitted</v>
          </cell>
          <cell r="D27">
            <v>100</v>
          </cell>
          <cell r="E27">
            <v>2.5</v>
          </cell>
        </row>
        <row r="28">
          <cell r="B28" t="str">
            <v>Ravikamatham</v>
          </cell>
          <cell r="C28" t="str">
            <v>Submitted</v>
          </cell>
          <cell r="D28">
            <v>100</v>
          </cell>
          <cell r="E28">
            <v>2.5</v>
          </cell>
        </row>
        <row r="29">
          <cell r="B29" t="str">
            <v>Rolugunta</v>
          </cell>
          <cell r="C29" t="str">
            <v>Submitted</v>
          </cell>
          <cell r="D29">
            <v>100</v>
          </cell>
          <cell r="E29">
            <v>2.5</v>
          </cell>
        </row>
        <row r="30">
          <cell r="B30" t="str">
            <v>S.Rayavaram</v>
          </cell>
          <cell r="C30" t="str">
            <v>Submitted</v>
          </cell>
          <cell r="D30">
            <v>100</v>
          </cell>
          <cell r="E30">
            <v>2.5</v>
          </cell>
        </row>
        <row r="31">
          <cell r="B31" t="str">
            <v>Sabbavaram</v>
          </cell>
          <cell r="C31" t="str">
            <v>Submitted</v>
          </cell>
          <cell r="D31">
            <v>100</v>
          </cell>
          <cell r="E31">
            <v>2.5</v>
          </cell>
        </row>
        <row r="32">
          <cell r="B32" t="str">
            <v>V.Madugula</v>
          </cell>
          <cell r="C32" t="str">
            <v>Submitted</v>
          </cell>
          <cell r="D32">
            <v>100</v>
          </cell>
          <cell r="E32">
            <v>2.5</v>
          </cell>
        </row>
        <row r="33">
          <cell r="B33" t="str">
            <v>Yelamanchili Rural</v>
          </cell>
          <cell r="C33" t="str">
            <v>Submitted</v>
          </cell>
          <cell r="D33">
            <v>100</v>
          </cell>
          <cell r="E33">
            <v>2.5</v>
          </cell>
        </row>
        <row r="34">
          <cell r="B34" t="str">
            <v>Yelamanchili Town</v>
          </cell>
          <cell r="C34" t="str">
            <v>Submitted</v>
          </cell>
          <cell r="D34">
            <v>100</v>
          </cell>
          <cell r="E34">
            <v>2.5</v>
          </cell>
        </row>
        <row r="35">
          <cell r="B35" t="str">
            <v>Yelamanchili Traffic</v>
          </cell>
          <cell r="C35" t="str">
            <v>Submitted</v>
          </cell>
          <cell r="D35">
            <v>100</v>
          </cell>
          <cell r="E35">
            <v>2.5</v>
          </cell>
        </row>
        <row r="36">
          <cell r="D36">
            <v>100</v>
          </cell>
        </row>
      </sheetData>
      <sheetData sheetId="4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41 Crpc</v>
          </cell>
          <cell r="M2" t="str">
            <v>Forms per FIR</v>
          </cell>
          <cell r="N2" t="str">
            <v>Raw Value</v>
          </cell>
          <cell r="O2" t="str">
            <v>MARKS</v>
          </cell>
        </row>
        <row r="3">
          <cell r="B3" t="str">
            <v>A.Koduru</v>
          </cell>
          <cell r="C3">
            <v>1610</v>
          </cell>
          <cell r="D3">
            <v>1735</v>
          </cell>
          <cell r="E3">
            <v>542</v>
          </cell>
          <cell r="F3">
            <v>98</v>
          </cell>
          <cell r="G3">
            <v>12710</v>
          </cell>
          <cell r="H3">
            <v>6792</v>
          </cell>
          <cell r="I3">
            <v>1376</v>
          </cell>
          <cell r="J3">
            <v>497</v>
          </cell>
          <cell r="K3">
            <v>584</v>
          </cell>
          <cell r="L3">
            <v>1614</v>
          </cell>
          <cell r="M3">
            <v>16.116770186335405</v>
          </cell>
          <cell r="N3">
            <v>100</v>
          </cell>
          <cell r="O3">
            <v>2.5</v>
          </cell>
        </row>
        <row r="4">
          <cell r="B4" t="str">
            <v>Anakapalli Rural</v>
          </cell>
          <cell r="C4">
            <v>3645</v>
          </cell>
          <cell r="D4">
            <v>3252</v>
          </cell>
          <cell r="E4">
            <v>1403</v>
          </cell>
          <cell r="F4">
            <v>395</v>
          </cell>
          <cell r="G4">
            <v>12755</v>
          </cell>
          <cell r="H4">
            <v>17081</v>
          </cell>
          <cell r="I4">
            <v>3507</v>
          </cell>
          <cell r="J4">
            <v>1451</v>
          </cell>
          <cell r="K4">
            <v>2601</v>
          </cell>
          <cell r="L4">
            <v>4258</v>
          </cell>
          <cell r="M4">
            <v>12.812894375857338</v>
          </cell>
          <cell r="N4">
            <v>95.44</v>
          </cell>
          <cell r="O4">
            <v>2.3860000000000001</v>
          </cell>
        </row>
        <row r="5">
          <cell r="B5" t="str">
            <v>Anakapalli Town</v>
          </cell>
          <cell r="C5">
            <v>6274</v>
          </cell>
          <cell r="D5">
            <v>4254</v>
          </cell>
          <cell r="E5">
            <v>2220</v>
          </cell>
          <cell r="F5">
            <v>440</v>
          </cell>
          <cell r="G5">
            <v>24838</v>
          </cell>
          <cell r="H5">
            <v>21356</v>
          </cell>
          <cell r="I5">
            <v>5409</v>
          </cell>
          <cell r="J5">
            <v>3321</v>
          </cell>
          <cell r="K5">
            <v>3290</v>
          </cell>
          <cell r="L5">
            <v>5818</v>
          </cell>
          <cell r="M5">
            <v>11.307937519923493</v>
          </cell>
          <cell r="N5">
            <v>84.23</v>
          </cell>
          <cell r="O5">
            <v>2.10575</v>
          </cell>
        </row>
        <row r="6">
          <cell r="B6" t="str">
            <v>Anakapalli Traffic</v>
          </cell>
          <cell r="C6">
            <v>1010</v>
          </cell>
          <cell r="D6">
            <v>1045</v>
          </cell>
          <cell r="E6">
            <v>519</v>
          </cell>
          <cell r="F6">
            <v>0</v>
          </cell>
          <cell r="G6">
            <v>3905</v>
          </cell>
          <cell r="H6">
            <v>5848</v>
          </cell>
          <cell r="I6">
            <v>1333</v>
          </cell>
          <cell r="J6">
            <v>162</v>
          </cell>
          <cell r="K6">
            <v>988</v>
          </cell>
          <cell r="L6">
            <v>913</v>
          </cell>
          <cell r="M6">
            <v>14.567326732673267</v>
          </cell>
          <cell r="N6">
            <v>100</v>
          </cell>
          <cell r="O6">
            <v>2.5</v>
          </cell>
        </row>
        <row r="7">
          <cell r="B7" t="str">
            <v>Atchutapuram</v>
          </cell>
          <cell r="C7">
            <v>3358</v>
          </cell>
          <cell r="D7">
            <v>3310</v>
          </cell>
          <cell r="E7">
            <v>1020</v>
          </cell>
          <cell r="F7">
            <v>680</v>
          </cell>
          <cell r="G7">
            <v>12392</v>
          </cell>
          <cell r="H7">
            <v>14988</v>
          </cell>
          <cell r="I7">
            <v>2885</v>
          </cell>
          <cell r="J7">
            <v>1450</v>
          </cell>
          <cell r="K7">
            <v>1445</v>
          </cell>
          <cell r="L7">
            <v>4562</v>
          </cell>
          <cell r="M7">
            <v>12.725431804645622</v>
          </cell>
          <cell r="N7">
            <v>94.79</v>
          </cell>
          <cell r="O7">
            <v>2.3697500000000002</v>
          </cell>
        </row>
        <row r="8">
          <cell r="B8" t="str">
            <v>Butchiyyapeta</v>
          </cell>
          <cell r="C8">
            <v>2538</v>
          </cell>
          <cell r="D8">
            <v>1907</v>
          </cell>
          <cell r="E8">
            <v>1195</v>
          </cell>
          <cell r="F8">
            <v>112</v>
          </cell>
          <cell r="G8">
            <v>8621</v>
          </cell>
          <cell r="H8">
            <v>11478</v>
          </cell>
          <cell r="I8">
            <v>2229</v>
          </cell>
          <cell r="J8">
            <v>806</v>
          </cell>
          <cell r="K8">
            <v>951</v>
          </cell>
          <cell r="L8">
            <v>2769</v>
          </cell>
          <cell r="M8">
            <v>11.847123719464145</v>
          </cell>
          <cell r="N8">
            <v>88.25</v>
          </cell>
          <cell r="O8">
            <v>2.2062500000000003</v>
          </cell>
        </row>
        <row r="9">
          <cell r="B9" t="str">
            <v>Cheedikada</v>
          </cell>
          <cell r="C9">
            <v>1712</v>
          </cell>
          <cell r="D9">
            <v>1789</v>
          </cell>
          <cell r="E9">
            <v>781</v>
          </cell>
          <cell r="F9">
            <v>702</v>
          </cell>
          <cell r="G9">
            <v>14884</v>
          </cell>
          <cell r="H9">
            <v>6929</v>
          </cell>
          <cell r="I9">
            <v>1417</v>
          </cell>
          <cell r="J9">
            <v>548</v>
          </cell>
          <cell r="K9">
            <v>625</v>
          </cell>
          <cell r="L9">
            <v>1453</v>
          </cell>
          <cell r="M9">
            <v>17.014018691588785</v>
          </cell>
          <cell r="N9">
            <v>100</v>
          </cell>
          <cell r="O9">
            <v>2.5</v>
          </cell>
        </row>
        <row r="10">
          <cell r="B10" t="str">
            <v>Chodavaram</v>
          </cell>
          <cell r="C10">
            <v>4718</v>
          </cell>
          <cell r="D10">
            <v>3222</v>
          </cell>
          <cell r="E10">
            <v>2441</v>
          </cell>
          <cell r="F10">
            <v>260</v>
          </cell>
          <cell r="G10">
            <v>19040</v>
          </cell>
          <cell r="H10">
            <v>21099</v>
          </cell>
          <cell r="I10">
            <v>4040</v>
          </cell>
          <cell r="J10">
            <v>1525</v>
          </cell>
          <cell r="K10">
            <v>1849</v>
          </cell>
          <cell r="L10">
            <v>5245</v>
          </cell>
          <cell r="M10">
            <v>12.44616362865621</v>
          </cell>
          <cell r="N10">
            <v>92.71</v>
          </cell>
          <cell r="O10">
            <v>2.3177499999999998</v>
          </cell>
        </row>
        <row r="11">
          <cell r="B11" t="str">
            <v>Devarapalli</v>
          </cell>
          <cell r="C11">
            <v>2766</v>
          </cell>
          <cell r="D11">
            <v>2910</v>
          </cell>
          <cell r="E11">
            <v>925</v>
          </cell>
          <cell r="F11">
            <v>76</v>
          </cell>
          <cell r="G11">
            <v>9485</v>
          </cell>
          <cell r="H11">
            <v>11140</v>
          </cell>
          <cell r="I11">
            <v>2285</v>
          </cell>
          <cell r="J11">
            <v>857</v>
          </cell>
          <cell r="K11">
            <v>860</v>
          </cell>
          <cell r="L11">
            <v>3590</v>
          </cell>
          <cell r="M11">
            <v>11.615328994938539</v>
          </cell>
          <cell r="N11">
            <v>86.52</v>
          </cell>
          <cell r="O11">
            <v>2.1629999999999998</v>
          </cell>
        </row>
        <row r="12">
          <cell r="B12" t="str">
            <v>Golugonda</v>
          </cell>
          <cell r="C12">
            <v>1612</v>
          </cell>
          <cell r="D12">
            <v>1849</v>
          </cell>
          <cell r="E12">
            <v>1295</v>
          </cell>
          <cell r="F12">
            <v>46</v>
          </cell>
          <cell r="G12">
            <v>9974</v>
          </cell>
          <cell r="H12">
            <v>7735</v>
          </cell>
          <cell r="I12">
            <v>1642</v>
          </cell>
          <cell r="J12">
            <v>713</v>
          </cell>
          <cell r="K12">
            <v>676</v>
          </cell>
          <cell r="L12">
            <v>1925</v>
          </cell>
          <cell r="M12">
            <v>16.039081885856078</v>
          </cell>
          <cell r="N12">
            <v>100</v>
          </cell>
          <cell r="O12">
            <v>2.5</v>
          </cell>
        </row>
        <row r="13">
          <cell r="B13" t="str">
            <v>K.D.Peta</v>
          </cell>
          <cell r="C13">
            <v>1046</v>
          </cell>
          <cell r="D13">
            <v>1042</v>
          </cell>
          <cell r="E13">
            <v>793</v>
          </cell>
          <cell r="F13">
            <v>117</v>
          </cell>
          <cell r="G13">
            <v>3036</v>
          </cell>
          <cell r="H13">
            <v>4859</v>
          </cell>
          <cell r="I13">
            <v>948</v>
          </cell>
          <cell r="J13">
            <v>355</v>
          </cell>
          <cell r="K13">
            <v>262</v>
          </cell>
          <cell r="L13">
            <v>904</v>
          </cell>
          <cell r="M13">
            <v>11.774378585086042</v>
          </cell>
          <cell r="N13">
            <v>87.7</v>
          </cell>
          <cell r="O13">
            <v>2.1925000000000003</v>
          </cell>
        </row>
        <row r="14">
          <cell r="B14" t="str">
            <v>K.Kotapadu</v>
          </cell>
          <cell r="C14">
            <v>1787</v>
          </cell>
          <cell r="D14">
            <v>1826</v>
          </cell>
          <cell r="E14">
            <v>546</v>
          </cell>
          <cell r="F14">
            <v>99</v>
          </cell>
          <cell r="G14">
            <v>7609</v>
          </cell>
          <cell r="H14">
            <v>8974</v>
          </cell>
          <cell r="I14">
            <v>1552</v>
          </cell>
          <cell r="J14">
            <v>552</v>
          </cell>
          <cell r="K14">
            <v>664</v>
          </cell>
          <cell r="L14">
            <v>2133</v>
          </cell>
          <cell r="M14">
            <v>13.405148293228875</v>
          </cell>
          <cell r="N14">
            <v>99.85</v>
          </cell>
          <cell r="O14">
            <v>2.4962499999999999</v>
          </cell>
        </row>
        <row r="15">
          <cell r="B15" t="str">
            <v>Kasimkota</v>
          </cell>
          <cell r="C15">
            <v>3741</v>
          </cell>
          <cell r="D15">
            <v>3793</v>
          </cell>
          <cell r="E15">
            <v>1666</v>
          </cell>
          <cell r="F15">
            <v>234</v>
          </cell>
          <cell r="G15">
            <v>19174</v>
          </cell>
          <cell r="H15">
            <v>16123</v>
          </cell>
          <cell r="I15">
            <v>3256</v>
          </cell>
          <cell r="J15">
            <v>1462</v>
          </cell>
          <cell r="K15">
            <v>2441</v>
          </cell>
          <cell r="L15">
            <v>3110</v>
          </cell>
          <cell r="M15">
            <v>13.701951349906443</v>
          </cell>
          <cell r="N15">
            <v>100</v>
          </cell>
          <cell r="O15">
            <v>2.5</v>
          </cell>
        </row>
        <row r="16">
          <cell r="B16" t="str">
            <v>Kotavurtla</v>
          </cell>
          <cell r="C16">
            <v>2353</v>
          </cell>
          <cell r="D16">
            <v>1848</v>
          </cell>
          <cell r="E16">
            <v>697</v>
          </cell>
          <cell r="F16">
            <v>261</v>
          </cell>
          <cell r="G16">
            <v>12562</v>
          </cell>
          <cell r="H16">
            <v>6953</v>
          </cell>
          <cell r="I16">
            <v>2200</v>
          </cell>
          <cell r="J16">
            <v>674</v>
          </cell>
          <cell r="K16">
            <v>657</v>
          </cell>
          <cell r="L16">
            <v>2873</v>
          </cell>
          <cell r="M16">
            <v>12.207819804504888</v>
          </cell>
          <cell r="N16">
            <v>90.93</v>
          </cell>
          <cell r="O16">
            <v>2.2732500000000004</v>
          </cell>
        </row>
        <row r="17">
          <cell r="B17" t="str">
            <v>Kothakota</v>
          </cell>
          <cell r="C17">
            <v>1932</v>
          </cell>
          <cell r="D17">
            <v>1946</v>
          </cell>
          <cell r="E17">
            <v>724</v>
          </cell>
          <cell r="F17">
            <v>943</v>
          </cell>
          <cell r="G17">
            <v>7971</v>
          </cell>
          <cell r="H17">
            <v>8473</v>
          </cell>
          <cell r="I17">
            <v>1725</v>
          </cell>
          <cell r="J17">
            <v>706</v>
          </cell>
          <cell r="K17">
            <v>656</v>
          </cell>
          <cell r="L17">
            <v>1967</v>
          </cell>
          <cell r="M17">
            <v>12.997412008281573</v>
          </cell>
          <cell r="N17">
            <v>96.81</v>
          </cell>
          <cell r="O17">
            <v>2.4202500000000002</v>
          </cell>
        </row>
        <row r="18">
          <cell r="B18" t="str">
            <v>Mahila UPS, Anakapalli</v>
          </cell>
          <cell r="C18">
            <v>845</v>
          </cell>
          <cell r="D18">
            <v>559</v>
          </cell>
          <cell r="E18">
            <v>80</v>
          </cell>
          <cell r="F18">
            <v>5</v>
          </cell>
          <cell r="G18">
            <v>3699</v>
          </cell>
          <cell r="H18">
            <v>7749</v>
          </cell>
          <cell r="I18">
            <v>1023</v>
          </cell>
          <cell r="J18">
            <v>25</v>
          </cell>
          <cell r="K18">
            <v>419</v>
          </cell>
          <cell r="L18">
            <v>2861</v>
          </cell>
          <cell r="M18">
            <v>19.431952662721894</v>
          </cell>
          <cell r="N18">
            <v>100</v>
          </cell>
          <cell r="O18">
            <v>2.5</v>
          </cell>
        </row>
        <row r="19">
          <cell r="B19" t="str">
            <v>Makavarapalem</v>
          </cell>
          <cell r="C19">
            <v>2743</v>
          </cell>
          <cell r="D19">
            <v>1030</v>
          </cell>
          <cell r="E19">
            <v>799</v>
          </cell>
          <cell r="F19">
            <v>247</v>
          </cell>
          <cell r="G19">
            <v>16954</v>
          </cell>
          <cell r="H19">
            <v>9276</v>
          </cell>
          <cell r="I19">
            <v>2523</v>
          </cell>
          <cell r="J19">
            <v>884</v>
          </cell>
          <cell r="K19">
            <v>1411</v>
          </cell>
          <cell r="L19">
            <v>3065</v>
          </cell>
          <cell r="M19">
            <v>13.19321910317171</v>
          </cell>
          <cell r="N19">
            <v>98.27</v>
          </cell>
          <cell r="O19">
            <v>2.45675</v>
          </cell>
        </row>
        <row r="20">
          <cell r="B20" t="str">
            <v>Munagapaka</v>
          </cell>
          <cell r="C20">
            <v>2468</v>
          </cell>
          <cell r="D20">
            <v>2595</v>
          </cell>
          <cell r="E20">
            <v>752</v>
          </cell>
          <cell r="F20">
            <v>128</v>
          </cell>
          <cell r="G20">
            <v>9683</v>
          </cell>
          <cell r="H20">
            <v>11194</v>
          </cell>
          <cell r="I20">
            <v>1997</v>
          </cell>
          <cell r="J20">
            <v>1062</v>
          </cell>
          <cell r="K20">
            <v>1322</v>
          </cell>
          <cell r="L20">
            <v>3356</v>
          </cell>
          <cell r="M20">
            <v>13.002025931928687</v>
          </cell>
          <cell r="N20">
            <v>96.85</v>
          </cell>
          <cell r="O20">
            <v>2.4212500000000001</v>
          </cell>
        </row>
        <row r="21">
          <cell r="B21" t="str">
            <v>Nakkapalli</v>
          </cell>
          <cell r="C21">
            <v>3291</v>
          </cell>
          <cell r="D21">
            <v>3322</v>
          </cell>
          <cell r="E21">
            <v>674</v>
          </cell>
          <cell r="F21">
            <v>1013</v>
          </cell>
          <cell r="G21">
            <v>24853</v>
          </cell>
          <cell r="H21">
            <v>14876</v>
          </cell>
          <cell r="I21">
            <v>2971</v>
          </cell>
          <cell r="J21">
            <v>1369</v>
          </cell>
          <cell r="K21">
            <v>1327</v>
          </cell>
          <cell r="L21">
            <v>3883</v>
          </cell>
          <cell r="M21">
            <v>16.495897903372835</v>
          </cell>
          <cell r="N21">
            <v>100</v>
          </cell>
          <cell r="O21">
            <v>2.5</v>
          </cell>
        </row>
        <row r="22">
          <cell r="B22" t="str">
            <v>Narsipatnam Rural</v>
          </cell>
          <cell r="C22">
            <v>1495</v>
          </cell>
          <cell r="D22">
            <v>1526</v>
          </cell>
          <cell r="E22">
            <v>798</v>
          </cell>
          <cell r="F22">
            <v>122</v>
          </cell>
          <cell r="G22">
            <v>6031</v>
          </cell>
          <cell r="H22">
            <v>7033</v>
          </cell>
          <cell r="I22">
            <v>1430</v>
          </cell>
          <cell r="J22">
            <v>627</v>
          </cell>
          <cell r="K22">
            <v>778</v>
          </cell>
          <cell r="L22">
            <v>1667</v>
          </cell>
          <cell r="M22">
            <v>13.385953177257525</v>
          </cell>
          <cell r="N22">
            <v>99.71</v>
          </cell>
          <cell r="O22">
            <v>2.49275</v>
          </cell>
        </row>
        <row r="23">
          <cell r="B23" t="str">
            <v>Narsipatnam Town</v>
          </cell>
          <cell r="C23">
            <v>4349</v>
          </cell>
          <cell r="D23">
            <v>4126</v>
          </cell>
          <cell r="E23">
            <v>2285</v>
          </cell>
          <cell r="F23">
            <v>349</v>
          </cell>
          <cell r="G23">
            <v>11989</v>
          </cell>
          <cell r="H23">
            <v>17659</v>
          </cell>
          <cell r="I23">
            <v>4217</v>
          </cell>
          <cell r="J23">
            <v>1831</v>
          </cell>
          <cell r="K23">
            <v>1495</v>
          </cell>
          <cell r="L23">
            <v>4605</v>
          </cell>
          <cell r="M23">
            <v>11.164865486318694</v>
          </cell>
          <cell r="N23">
            <v>83.16</v>
          </cell>
          <cell r="O23">
            <v>2.0790000000000002</v>
          </cell>
        </row>
        <row r="24">
          <cell r="B24" t="str">
            <v>Nathavaram</v>
          </cell>
          <cell r="C24">
            <v>2374</v>
          </cell>
          <cell r="D24">
            <v>2214</v>
          </cell>
          <cell r="E24">
            <v>1108</v>
          </cell>
          <cell r="F24">
            <v>40</v>
          </cell>
          <cell r="G24">
            <v>6448</v>
          </cell>
          <cell r="H24">
            <v>9495</v>
          </cell>
          <cell r="I24">
            <v>2122</v>
          </cell>
          <cell r="J24">
            <v>1012</v>
          </cell>
          <cell r="K24">
            <v>933</v>
          </cell>
          <cell r="L24">
            <v>2928</v>
          </cell>
          <cell r="M24">
            <v>11.078348778433025</v>
          </cell>
          <cell r="N24">
            <v>82.52</v>
          </cell>
          <cell r="O24">
            <v>2.0630000000000002</v>
          </cell>
        </row>
        <row r="25">
          <cell r="B25" t="str">
            <v>Parawada</v>
          </cell>
          <cell r="C25">
            <v>3769</v>
          </cell>
          <cell r="D25">
            <v>1827</v>
          </cell>
          <cell r="E25">
            <v>2340</v>
          </cell>
          <cell r="F25">
            <v>446</v>
          </cell>
          <cell r="G25">
            <v>18266</v>
          </cell>
          <cell r="H25">
            <v>19182</v>
          </cell>
          <cell r="I25">
            <v>3161</v>
          </cell>
          <cell r="J25">
            <v>1823</v>
          </cell>
          <cell r="K25">
            <v>2023</v>
          </cell>
          <cell r="L25">
            <v>3995</v>
          </cell>
          <cell r="M25">
            <v>14.078800742902626</v>
          </cell>
          <cell r="N25">
            <v>100</v>
          </cell>
          <cell r="O25">
            <v>2.5</v>
          </cell>
        </row>
        <row r="26">
          <cell r="B26" t="str">
            <v>Payakaraopeta</v>
          </cell>
          <cell r="C26">
            <v>3945</v>
          </cell>
          <cell r="D26">
            <v>3273</v>
          </cell>
          <cell r="E26">
            <v>1671</v>
          </cell>
          <cell r="F26">
            <v>194</v>
          </cell>
          <cell r="G26">
            <v>24442</v>
          </cell>
          <cell r="H26">
            <v>18271</v>
          </cell>
          <cell r="I26">
            <v>3329</v>
          </cell>
          <cell r="J26">
            <v>1686</v>
          </cell>
          <cell r="K26">
            <v>1314</v>
          </cell>
          <cell r="L26">
            <v>5225</v>
          </cell>
          <cell r="M26">
            <v>15.058301647655259</v>
          </cell>
          <cell r="N26">
            <v>100</v>
          </cell>
          <cell r="O26">
            <v>2.5</v>
          </cell>
        </row>
        <row r="27">
          <cell r="B27" t="str">
            <v>Rambilli</v>
          </cell>
          <cell r="C27">
            <v>2478</v>
          </cell>
          <cell r="D27">
            <v>2797</v>
          </cell>
          <cell r="E27">
            <v>718</v>
          </cell>
          <cell r="F27">
            <v>85</v>
          </cell>
          <cell r="G27">
            <v>13295</v>
          </cell>
          <cell r="H27">
            <v>10472</v>
          </cell>
          <cell r="I27">
            <v>2100</v>
          </cell>
          <cell r="J27">
            <v>1135</v>
          </cell>
          <cell r="K27">
            <v>1147</v>
          </cell>
          <cell r="L27">
            <v>3000</v>
          </cell>
          <cell r="M27">
            <v>14.023002421307506</v>
          </cell>
          <cell r="N27">
            <v>100</v>
          </cell>
          <cell r="O27">
            <v>2.5</v>
          </cell>
        </row>
        <row r="28">
          <cell r="B28" t="str">
            <v>Ravikamatham</v>
          </cell>
          <cell r="C28">
            <v>2180</v>
          </cell>
          <cell r="D28">
            <v>1755</v>
          </cell>
          <cell r="E28">
            <v>710</v>
          </cell>
          <cell r="F28">
            <v>222</v>
          </cell>
          <cell r="G28">
            <v>13513</v>
          </cell>
          <cell r="H28">
            <v>7203</v>
          </cell>
          <cell r="I28">
            <v>2218</v>
          </cell>
          <cell r="J28">
            <v>515</v>
          </cell>
          <cell r="K28">
            <v>824</v>
          </cell>
          <cell r="L28">
            <v>2561</v>
          </cell>
          <cell r="M28">
            <v>13.541743119266055</v>
          </cell>
          <cell r="N28">
            <v>100</v>
          </cell>
          <cell r="O28">
            <v>2.5</v>
          </cell>
        </row>
        <row r="29">
          <cell r="B29" t="str">
            <v>Rolugunta</v>
          </cell>
          <cell r="C29">
            <v>1969</v>
          </cell>
          <cell r="D29">
            <v>1627</v>
          </cell>
          <cell r="E29">
            <v>1575</v>
          </cell>
          <cell r="F29">
            <v>227</v>
          </cell>
          <cell r="G29">
            <v>9511</v>
          </cell>
          <cell r="H29">
            <v>7782</v>
          </cell>
          <cell r="I29">
            <v>1807</v>
          </cell>
          <cell r="J29">
            <v>883</v>
          </cell>
          <cell r="K29">
            <v>671</v>
          </cell>
          <cell r="L29">
            <v>1887</v>
          </cell>
          <cell r="M29">
            <v>13.18943626206196</v>
          </cell>
          <cell r="N29">
            <v>98.24</v>
          </cell>
          <cell r="O29">
            <v>2.456</v>
          </cell>
        </row>
        <row r="30">
          <cell r="B30" t="str">
            <v>S.Rayavaram</v>
          </cell>
          <cell r="C30">
            <v>3622</v>
          </cell>
          <cell r="D30">
            <v>3728</v>
          </cell>
          <cell r="E30">
            <v>969</v>
          </cell>
          <cell r="F30">
            <v>206</v>
          </cell>
          <cell r="G30">
            <v>9381</v>
          </cell>
          <cell r="H30">
            <v>14636</v>
          </cell>
          <cell r="I30">
            <v>3163</v>
          </cell>
          <cell r="J30">
            <v>1517</v>
          </cell>
          <cell r="K30">
            <v>1332</v>
          </cell>
          <cell r="L30">
            <v>4022</v>
          </cell>
          <cell r="M30">
            <v>10.754831584759801</v>
          </cell>
          <cell r="N30">
            <v>80.11</v>
          </cell>
          <cell r="O30">
            <v>2.0027500000000003</v>
          </cell>
        </row>
        <row r="31">
          <cell r="B31" t="str">
            <v>Sabbavaram</v>
          </cell>
          <cell r="C31">
            <v>3459</v>
          </cell>
          <cell r="D31">
            <v>3344</v>
          </cell>
          <cell r="E31">
            <v>1016</v>
          </cell>
          <cell r="F31">
            <v>228</v>
          </cell>
          <cell r="G31">
            <v>13958</v>
          </cell>
          <cell r="H31">
            <v>12425</v>
          </cell>
          <cell r="I31">
            <v>3253</v>
          </cell>
          <cell r="J31">
            <v>1259</v>
          </cell>
          <cell r="K31">
            <v>2384</v>
          </cell>
          <cell r="L31">
            <v>4023</v>
          </cell>
          <cell r="M31">
            <v>12.11043654235328</v>
          </cell>
          <cell r="N31">
            <v>90.21</v>
          </cell>
          <cell r="O31">
            <v>2.2552499999999998</v>
          </cell>
        </row>
        <row r="32">
          <cell r="B32" t="str">
            <v>V.Madugula</v>
          </cell>
          <cell r="C32">
            <v>2825</v>
          </cell>
          <cell r="D32">
            <v>2892</v>
          </cell>
          <cell r="E32">
            <v>1522</v>
          </cell>
          <cell r="F32">
            <v>156</v>
          </cell>
          <cell r="G32">
            <v>8616</v>
          </cell>
          <cell r="H32">
            <v>12706</v>
          </cell>
          <cell r="I32">
            <v>2596</v>
          </cell>
          <cell r="J32">
            <v>978</v>
          </cell>
          <cell r="K32">
            <v>1104</v>
          </cell>
          <cell r="L32">
            <v>3401</v>
          </cell>
          <cell r="M32">
            <v>12.025132743362832</v>
          </cell>
          <cell r="N32">
            <v>89.57</v>
          </cell>
          <cell r="O32">
            <v>2.2392499999999997</v>
          </cell>
        </row>
        <row r="33">
          <cell r="B33" t="str">
            <v>Yelamanchili Rural</v>
          </cell>
          <cell r="C33">
            <v>2314</v>
          </cell>
          <cell r="D33">
            <v>2261</v>
          </cell>
          <cell r="E33">
            <v>533</v>
          </cell>
          <cell r="F33">
            <v>376</v>
          </cell>
          <cell r="G33">
            <v>13911</v>
          </cell>
          <cell r="H33">
            <v>10189</v>
          </cell>
          <cell r="I33">
            <v>2116</v>
          </cell>
          <cell r="J33">
            <v>830</v>
          </cell>
          <cell r="K33">
            <v>1012</v>
          </cell>
          <cell r="L33">
            <v>2746</v>
          </cell>
          <cell r="M33">
            <v>14.681936041486603</v>
          </cell>
          <cell r="N33">
            <v>100</v>
          </cell>
          <cell r="O33">
            <v>2.5</v>
          </cell>
        </row>
        <row r="34">
          <cell r="B34" t="str">
            <v>Yelamanchili Town</v>
          </cell>
          <cell r="C34">
            <v>1840</v>
          </cell>
          <cell r="D34">
            <v>1700</v>
          </cell>
          <cell r="E34">
            <v>431</v>
          </cell>
          <cell r="F34">
            <v>408</v>
          </cell>
          <cell r="G34">
            <v>11132</v>
          </cell>
          <cell r="H34">
            <v>7939</v>
          </cell>
          <cell r="I34">
            <v>1733</v>
          </cell>
          <cell r="J34">
            <v>746</v>
          </cell>
          <cell r="K34">
            <v>735</v>
          </cell>
          <cell r="L34">
            <v>1566</v>
          </cell>
          <cell r="M34">
            <v>14.342391304347826</v>
          </cell>
          <cell r="N34">
            <v>100</v>
          </cell>
          <cell r="O34">
            <v>2.5</v>
          </cell>
        </row>
        <row r="35">
          <cell r="B35" t="str">
            <v>Yelamanchili Traffic</v>
          </cell>
          <cell r="C35">
            <v>46</v>
          </cell>
          <cell r="D35">
            <v>46</v>
          </cell>
          <cell r="E35">
            <v>0</v>
          </cell>
          <cell r="F35">
            <v>0</v>
          </cell>
          <cell r="G35">
            <v>196</v>
          </cell>
          <cell r="H35">
            <v>144</v>
          </cell>
          <cell r="I35">
            <v>46</v>
          </cell>
          <cell r="J35">
            <v>0</v>
          </cell>
          <cell r="K35">
            <v>23</v>
          </cell>
          <cell r="L35">
            <v>46</v>
          </cell>
          <cell r="M35">
            <v>10.891304347826088</v>
          </cell>
          <cell r="N35">
            <v>81.13</v>
          </cell>
          <cell r="O35">
            <v>2.0282499999999999</v>
          </cell>
        </row>
        <row r="36">
          <cell r="C36">
            <v>86114</v>
          </cell>
          <cell r="D36">
            <v>76350</v>
          </cell>
          <cell r="E36">
            <v>34748</v>
          </cell>
          <cell r="F36">
            <v>8915</v>
          </cell>
          <cell r="G36">
            <v>394834</v>
          </cell>
          <cell r="H36">
            <v>368059</v>
          </cell>
          <cell r="I36">
            <v>77609</v>
          </cell>
          <cell r="J36">
            <v>33261</v>
          </cell>
          <cell r="K36">
            <v>38803</v>
          </cell>
          <cell r="L36">
            <v>97971</v>
          </cell>
          <cell r="M36">
            <v>13.425102041863058</v>
          </cell>
          <cell r="N36">
            <v>94.454545454545467</v>
          </cell>
          <cell r="O36">
            <v>2.3613636363636368</v>
          </cell>
        </row>
      </sheetData>
      <sheetData sheetId="5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41 Crpc</v>
          </cell>
          <cell r="M2" t="str">
            <v>Forms per FIR</v>
          </cell>
          <cell r="N2" t="str">
            <v>Raw Value</v>
          </cell>
          <cell r="O2" t="str">
            <v>MARKS</v>
          </cell>
        </row>
        <row r="3">
          <cell r="B3" t="str">
            <v>A.Koduru</v>
          </cell>
          <cell r="C3">
            <v>1</v>
          </cell>
          <cell r="D3">
            <v>1</v>
          </cell>
          <cell r="E3">
            <v>0</v>
          </cell>
          <cell r="F3">
            <v>0</v>
          </cell>
          <cell r="G3">
            <v>8</v>
          </cell>
          <cell r="H3">
            <v>4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13</v>
          </cell>
          <cell r="N3">
            <v>100</v>
          </cell>
          <cell r="O3">
            <v>2.5</v>
          </cell>
        </row>
        <row r="4">
          <cell r="B4" t="str">
            <v>Anakapalli Rural</v>
          </cell>
          <cell r="C4">
            <v>3</v>
          </cell>
          <cell r="D4">
            <v>1</v>
          </cell>
          <cell r="E4">
            <v>1</v>
          </cell>
          <cell r="F4">
            <v>1</v>
          </cell>
          <cell r="G4">
            <v>4</v>
          </cell>
          <cell r="H4">
            <v>23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10</v>
          </cell>
          <cell r="N4">
            <v>100</v>
          </cell>
          <cell r="O4">
            <v>2.5</v>
          </cell>
        </row>
        <row r="5">
          <cell r="B5" t="str">
            <v>Anakapalli Town</v>
          </cell>
          <cell r="C5">
            <v>5</v>
          </cell>
          <cell r="D5">
            <v>5</v>
          </cell>
          <cell r="E5">
            <v>4</v>
          </cell>
          <cell r="F5">
            <v>0</v>
          </cell>
          <cell r="G5">
            <v>6</v>
          </cell>
          <cell r="H5">
            <v>17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6.4</v>
          </cell>
          <cell r="N5">
            <v>89.41</v>
          </cell>
          <cell r="O5">
            <v>2.2352500000000002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0</v>
          </cell>
          <cell r="F6">
            <v>0</v>
          </cell>
          <cell r="G6">
            <v>3</v>
          </cell>
          <cell r="H6">
            <v>2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6</v>
          </cell>
          <cell r="N6">
            <v>83.82</v>
          </cell>
          <cell r="O6">
            <v>2.0954999999999999</v>
          </cell>
        </row>
        <row r="7">
          <cell r="B7" t="str">
            <v>Atchutapuram</v>
          </cell>
          <cell r="C7">
            <v>2</v>
          </cell>
          <cell r="D7">
            <v>2</v>
          </cell>
          <cell r="E7">
            <v>0</v>
          </cell>
          <cell r="F7">
            <v>0</v>
          </cell>
          <cell r="G7">
            <v>12</v>
          </cell>
          <cell r="H7">
            <v>2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8</v>
          </cell>
          <cell r="N7">
            <v>100</v>
          </cell>
          <cell r="O7">
            <v>2.5</v>
          </cell>
        </row>
        <row r="8">
          <cell r="B8" t="str">
            <v>Butchiyyapeta</v>
          </cell>
          <cell r="C8">
            <v>6</v>
          </cell>
          <cell r="D8">
            <v>6</v>
          </cell>
          <cell r="E8">
            <v>1</v>
          </cell>
          <cell r="F8">
            <v>1</v>
          </cell>
          <cell r="G8">
            <v>18</v>
          </cell>
          <cell r="H8">
            <v>6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5.333333333333333</v>
          </cell>
          <cell r="N8">
            <v>74.510000000000005</v>
          </cell>
          <cell r="O8">
            <v>1.8627500000000001</v>
          </cell>
        </row>
        <row r="9">
          <cell r="B9" t="str">
            <v>Cheedikada</v>
          </cell>
          <cell r="C9">
            <v>1</v>
          </cell>
          <cell r="D9">
            <v>1</v>
          </cell>
          <cell r="E9">
            <v>0</v>
          </cell>
          <cell r="F9">
            <v>0</v>
          </cell>
          <cell r="G9">
            <v>3</v>
          </cell>
          <cell r="H9">
            <v>5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9</v>
          </cell>
          <cell r="N9">
            <v>100</v>
          </cell>
          <cell r="O9">
            <v>2.5</v>
          </cell>
        </row>
        <row r="10">
          <cell r="B10" t="str">
            <v>Chodavaram</v>
          </cell>
          <cell r="C10">
            <v>7</v>
          </cell>
          <cell r="D10">
            <v>6</v>
          </cell>
          <cell r="E10">
            <v>0</v>
          </cell>
          <cell r="F10">
            <v>0</v>
          </cell>
          <cell r="G10">
            <v>23</v>
          </cell>
          <cell r="H10">
            <v>9</v>
          </cell>
          <cell r="I10">
            <v>0</v>
          </cell>
          <cell r="J10">
            <v>0</v>
          </cell>
          <cell r="K10">
            <v>0</v>
          </cell>
          <cell r="L10">
            <v>6</v>
          </cell>
          <cell r="M10">
            <v>6.2857142857142856</v>
          </cell>
          <cell r="N10">
            <v>87.82</v>
          </cell>
          <cell r="O10">
            <v>2.1955</v>
          </cell>
        </row>
        <row r="11">
          <cell r="B11" t="str">
            <v>Devarapalli</v>
          </cell>
          <cell r="C11">
            <v>1</v>
          </cell>
          <cell r="D11">
            <v>1</v>
          </cell>
          <cell r="E11">
            <v>0</v>
          </cell>
          <cell r="F11">
            <v>0</v>
          </cell>
          <cell r="G11">
            <v>2</v>
          </cell>
          <cell r="H11">
            <v>7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10</v>
          </cell>
          <cell r="N11">
            <v>100</v>
          </cell>
          <cell r="O11">
            <v>2.5</v>
          </cell>
        </row>
        <row r="12">
          <cell r="B12" t="str">
            <v>Golugonda</v>
          </cell>
          <cell r="C12">
            <v>2</v>
          </cell>
          <cell r="D12">
            <v>2</v>
          </cell>
          <cell r="E12">
            <v>0</v>
          </cell>
          <cell r="F12">
            <v>1</v>
          </cell>
          <cell r="G12">
            <v>10</v>
          </cell>
          <cell r="H12">
            <v>5</v>
          </cell>
          <cell r="I12">
            <v>0</v>
          </cell>
          <cell r="J12">
            <v>0</v>
          </cell>
          <cell r="K12">
            <v>0</v>
          </cell>
          <cell r="L12">
            <v>2</v>
          </cell>
          <cell r="M12">
            <v>10</v>
          </cell>
          <cell r="N12">
            <v>100</v>
          </cell>
          <cell r="O12">
            <v>2.5</v>
          </cell>
        </row>
        <row r="13">
          <cell r="B13" t="str">
            <v>K.D.Peta</v>
          </cell>
          <cell r="C13">
            <v>1</v>
          </cell>
          <cell r="D13">
            <v>1</v>
          </cell>
          <cell r="E13">
            <v>0</v>
          </cell>
          <cell r="F13">
            <v>0</v>
          </cell>
          <cell r="G13">
            <v>0</v>
          </cell>
          <cell r="H13">
            <v>10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11</v>
          </cell>
          <cell r="N13">
            <v>100</v>
          </cell>
          <cell r="O13">
            <v>2.5</v>
          </cell>
        </row>
        <row r="14">
          <cell r="B14" t="str">
            <v>K.Kotapadu</v>
          </cell>
          <cell r="C14">
            <v>3</v>
          </cell>
          <cell r="D14">
            <v>2</v>
          </cell>
          <cell r="E14">
            <v>0</v>
          </cell>
          <cell r="F14">
            <v>0</v>
          </cell>
          <cell r="G14">
            <v>3</v>
          </cell>
          <cell r="H14">
            <v>5</v>
          </cell>
          <cell r="I14">
            <v>0</v>
          </cell>
          <cell r="J14">
            <v>0</v>
          </cell>
          <cell r="K14">
            <v>0</v>
          </cell>
          <cell r="L14">
            <v>5</v>
          </cell>
          <cell r="M14">
            <v>5</v>
          </cell>
          <cell r="N14">
            <v>69.849999999999994</v>
          </cell>
          <cell r="O14">
            <v>1.7462499999999999</v>
          </cell>
        </row>
        <row r="15">
          <cell r="B15" t="str">
            <v>Kasimkota</v>
          </cell>
          <cell r="C15">
            <v>5</v>
          </cell>
          <cell r="D15">
            <v>4</v>
          </cell>
          <cell r="E15">
            <v>0</v>
          </cell>
          <cell r="F15">
            <v>0</v>
          </cell>
          <cell r="G15">
            <v>52</v>
          </cell>
          <cell r="H15">
            <v>2</v>
          </cell>
          <cell r="I15">
            <v>0</v>
          </cell>
          <cell r="J15">
            <v>0</v>
          </cell>
          <cell r="K15">
            <v>0</v>
          </cell>
          <cell r="L15">
            <v>1</v>
          </cell>
          <cell r="M15">
            <v>11.8</v>
          </cell>
          <cell r="N15">
            <v>100</v>
          </cell>
          <cell r="O15">
            <v>2.5</v>
          </cell>
        </row>
        <row r="16">
          <cell r="B16" t="str">
            <v>Kotavurtla</v>
          </cell>
          <cell r="C16">
            <v>4</v>
          </cell>
          <cell r="D16">
            <v>3</v>
          </cell>
          <cell r="E16">
            <v>0</v>
          </cell>
          <cell r="F16">
            <v>0</v>
          </cell>
          <cell r="G16">
            <v>0</v>
          </cell>
          <cell r="H16">
            <v>20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5.75</v>
          </cell>
          <cell r="N16">
            <v>80.33</v>
          </cell>
          <cell r="O16">
            <v>2.0082499999999999</v>
          </cell>
        </row>
        <row r="17">
          <cell r="B17" t="str">
            <v>Kothakota</v>
          </cell>
          <cell r="C17">
            <v>1</v>
          </cell>
          <cell r="D17">
            <v>1</v>
          </cell>
          <cell r="E17">
            <v>0</v>
          </cell>
          <cell r="F17">
            <v>2</v>
          </cell>
          <cell r="G17">
            <v>10</v>
          </cell>
          <cell r="H17">
            <v>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15</v>
          </cell>
          <cell r="N17">
            <v>100</v>
          </cell>
          <cell r="O17">
            <v>2.5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50</v>
          </cell>
          <cell r="O18">
            <v>1.25</v>
          </cell>
        </row>
        <row r="19">
          <cell r="B19" t="str">
            <v>Makavarapalem</v>
          </cell>
          <cell r="C19">
            <v>10</v>
          </cell>
          <cell r="D19">
            <v>5</v>
          </cell>
          <cell r="E19">
            <v>0</v>
          </cell>
          <cell r="F19">
            <v>0</v>
          </cell>
          <cell r="G19">
            <v>46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5.0999999999999996</v>
          </cell>
          <cell r="N19">
            <v>71.25</v>
          </cell>
          <cell r="O19">
            <v>1.78125</v>
          </cell>
        </row>
        <row r="20">
          <cell r="B20" t="str">
            <v>Munagapaka</v>
          </cell>
          <cell r="C20">
            <v>2</v>
          </cell>
          <cell r="D20">
            <v>2</v>
          </cell>
          <cell r="E20">
            <v>0</v>
          </cell>
          <cell r="F20">
            <v>0</v>
          </cell>
          <cell r="G20">
            <v>6</v>
          </cell>
          <cell r="H20">
            <v>15</v>
          </cell>
          <cell r="I20">
            <v>0</v>
          </cell>
          <cell r="J20">
            <v>0</v>
          </cell>
          <cell r="K20">
            <v>0</v>
          </cell>
          <cell r="L20">
            <v>4</v>
          </cell>
          <cell r="M20">
            <v>13.5</v>
          </cell>
          <cell r="N20">
            <v>100</v>
          </cell>
          <cell r="O20">
            <v>2.5</v>
          </cell>
        </row>
        <row r="21">
          <cell r="B21" t="str">
            <v>Nakkapalli</v>
          </cell>
          <cell r="C21">
            <v>5</v>
          </cell>
          <cell r="D21">
            <v>5</v>
          </cell>
          <cell r="E21">
            <v>0</v>
          </cell>
          <cell r="F21">
            <v>0</v>
          </cell>
          <cell r="G21">
            <v>40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9</v>
          </cell>
          <cell r="N21">
            <v>100</v>
          </cell>
          <cell r="O21">
            <v>2.5</v>
          </cell>
        </row>
        <row r="22">
          <cell r="B22" t="str">
            <v>Narsipatnam Rural</v>
          </cell>
          <cell r="C22">
            <v>2</v>
          </cell>
          <cell r="D22">
            <v>2</v>
          </cell>
          <cell r="E22">
            <v>0</v>
          </cell>
          <cell r="F22">
            <v>0</v>
          </cell>
          <cell r="G22">
            <v>2</v>
          </cell>
          <cell r="H22">
            <v>9</v>
          </cell>
          <cell r="I22">
            <v>0</v>
          </cell>
          <cell r="J22">
            <v>0</v>
          </cell>
          <cell r="K22">
            <v>0</v>
          </cell>
          <cell r="L22">
            <v>2</v>
          </cell>
          <cell r="M22">
            <v>7.5</v>
          </cell>
          <cell r="N22">
            <v>100</v>
          </cell>
          <cell r="O22">
            <v>2.5</v>
          </cell>
        </row>
        <row r="23">
          <cell r="B23" t="str">
            <v>Narsipatnam Town</v>
          </cell>
          <cell r="C23">
            <v>4</v>
          </cell>
          <cell r="D23">
            <v>5</v>
          </cell>
          <cell r="E23">
            <v>1</v>
          </cell>
          <cell r="F23">
            <v>0</v>
          </cell>
          <cell r="G23">
            <v>4</v>
          </cell>
          <cell r="H23">
            <v>11</v>
          </cell>
          <cell r="I23">
            <v>0</v>
          </cell>
          <cell r="J23">
            <v>0</v>
          </cell>
          <cell r="K23">
            <v>0</v>
          </cell>
          <cell r="L23">
            <v>1</v>
          </cell>
          <cell r="M23">
            <v>5.5</v>
          </cell>
          <cell r="N23">
            <v>76.84</v>
          </cell>
          <cell r="O23">
            <v>1.9210000000000003</v>
          </cell>
        </row>
        <row r="24">
          <cell r="B24" t="str">
            <v>Nathavaram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50</v>
          </cell>
          <cell r="O24">
            <v>1.25</v>
          </cell>
        </row>
        <row r="25">
          <cell r="B25" t="str">
            <v>Parawada</v>
          </cell>
          <cell r="C25">
            <v>8</v>
          </cell>
          <cell r="D25">
            <v>7</v>
          </cell>
          <cell r="E25">
            <v>1</v>
          </cell>
          <cell r="F25">
            <v>0</v>
          </cell>
          <cell r="G25">
            <v>55</v>
          </cell>
          <cell r="H25">
            <v>7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8.75</v>
          </cell>
          <cell r="N25">
            <v>100</v>
          </cell>
          <cell r="O25">
            <v>2.5</v>
          </cell>
        </row>
        <row r="26">
          <cell r="B26" t="str">
            <v>Payakaraopeta</v>
          </cell>
          <cell r="C26">
            <v>4</v>
          </cell>
          <cell r="D26">
            <v>4</v>
          </cell>
          <cell r="E26">
            <v>0</v>
          </cell>
          <cell r="F26">
            <v>1</v>
          </cell>
          <cell r="G26">
            <v>19</v>
          </cell>
          <cell r="H26">
            <v>11</v>
          </cell>
          <cell r="I26">
            <v>0</v>
          </cell>
          <cell r="J26">
            <v>0</v>
          </cell>
          <cell r="K26">
            <v>0</v>
          </cell>
          <cell r="L26">
            <v>12</v>
          </cell>
          <cell r="M26">
            <v>11.75</v>
          </cell>
          <cell r="N26">
            <v>100</v>
          </cell>
          <cell r="O26">
            <v>2.5</v>
          </cell>
        </row>
        <row r="27">
          <cell r="B27" t="str">
            <v>Rambilli</v>
          </cell>
          <cell r="C27">
            <v>3</v>
          </cell>
          <cell r="D27">
            <v>1</v>
          </cell>
          <cell r="E27">
            <v>0</v>
          </cell>
          <cell r="F27">
            <v>0</v>
          </cell>
          <cell r="G27">
            <v>7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2.6666666666666665</v>
          </cell>
          <cell r="N27">
            <v>37.25</v>
          </cell>
          <cell r="O27">
            <v>0.93125000000000002</v>
          </cell>
        </row>
        <row r="28">
          <cell r="B28" t="str">
            <v>Ravikamatham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50</v>
          </cell>
          <cell r="O28">
            <v>1.25</v>
          </cell>
        </row>
        <row r="29">
          <cell r="B29" t="str">
            <v>Rolugunta</v>
          </cell>
          <cell r="C29">
            <v>1</v>
          </cell>
          <cell r="D29">
            <v>1</v>
          </cell>
          <cell r="E29">
            <v>2</v>
          </cell>
          <cell r="F29">
            <v>1</v>
          </cell>
          <cell r="G29">
            <v>1</v>
          </cell>
          <cell r="H29">
            <v>5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10</v>
          </cell>
          <cell r="N29">
            <v>100</v>
          </cell>
          <cell r="O29">
            <v>2.5</v>
          </cell>
        </row>
        <row r="30">
          <cell r="B30" t="str">
            <v>S.Rayavaram</v>
          </cell>
          <cell r="C30">
            <v>6</v>
          </cell>
          <cell r="D30">
            <v>1</v>
          </cell>
          <cell r="E30">
            <v>0</v>
          </cell>
          <cell r="F30">
            <v>0</v>
          </cell>
          <cell r="G30">
            <v>4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1</v>
          </cell>
          <cell r="M30">
            <v>1</v>
          </cell>
          <cell r="N30">
            <v>13.97</v>
          </cell>
          <cell r="O30">
            <v>0.34925000000000006</v>
          </cell>
        </row>
        <row r="31">
          <cell r="B31" t="str">
            <v>Sabbavaram</v>
          </cell>
          <cell r="C31">
            <v>3</v>
          </cell>
          <cell r="D31">
            <v>2</v>
          </cell>
          <cell r="E31">
            <v>0</v>
          </cell>
          <cell r="F31">
            <v>0</v>
          </cell>
          <cell r="G31">
            <v>3</v>
          </cell>
          <cell r="H31">
            <v>5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3.3333333333333335</v>
          </cell>
          <cell r="N31">
            <v>46.57</v>
          </cell>
          <cell r="O31">
            <v>1.16425</v>
          </cell>
        </row>
        <row r="32">
          <cell r="B32" t="str">
            <v>V.Madugula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50</v>
          </cell>
          <cell r="O32">
            <v>1.25</v>
          </cell>
        </row>
        <row r="33">
          <cell r="B33" t="str">
            <v>Yelamanchili Rural</v>
          </cell>
          <cell r="C33">
            <v>3</v>
          </cell>
          <cell r="D33">
            <v>3</v>
          </cell>
          <cell r="E33">
            <v>0</v>
          </cell>
          <cell r="F33">
            <v>0</v>
          </cell>
          <cell r="G33">
            <v>16</v>
          </cell>
          <cell r="H33">
            <v>3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7.333333333333333</v>
          </cell>
          <cell r="N33">
            <v>100</v>
          </cell>
          <cell r="O33">
            <v>2.5</v>
          </cell>
        </row>
        <row r="34">
          <cell r="B34" t="str">
            <v>Yelamanchili Town</v>
          </cell>
          <cell r="C34">
            <v>1</v>
          </cell>
          <cell r="D34">
            <v>1</v>
          </cell>
          <cell r="E34">
            <v>1</v>
          </cell>
          <cell r="F34">
            <v>0</v>
          </cell>
          <cell r="G34">
            <v>2</v>
          </cell>
          <cell r="H34">
            <v>8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12</v>
          </cell>
          <cell r="N34">
            <v>100</v>
          </cell>
          <cell r="O34">
            <v>2.5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50</v>
          </cell>
          <cell r="O35">
            <v>1.25</v>
          </cell>
        </row>
        <row r="36">
          <cell r="C36">
            <v>95</v>
          </cell>
          <cell r="D36">
            <v>76</v>
          </cell>
          <cell r="E36">
            <v>11</v>
          </cell>
          <cell r="F36">
            <v>7</v>
          </cell>
          <cell r="G36">
            <v>359</v>
          </cell>
          <cell r="H36">
            <v>193</v>
          </cell>
          <cell r="I36">
            <v>0</v>
          </cell>
          <cell r="J36">
            <v>0</v>
          </cell>
          <cell r="K36">
            <v>0</v>
          </cell>
          <cell r="L36">
            <v>34</v>
          </cell>
          <cell r="M36">
            <v>7.1578947368421053</v>
          </cell>
          <cell r="N36">
            <v>81.261212121212111</v>
          </cell>
          <cell r="O36">
            <v>2.0315303030303027</v>
          </cell>
        </row>
      </sheetData>
      <sheetData sheetId="6">
        <row r="2">
          <cell r="B2" t="str">
            <v>PS</v>
          </cell>
          <cell r="C2" t="str">
            <v>Result of Appeal</v>
          </cell>
          <cell r="D2" t="str">
            <v>Missing</v>
          </cell>
          <cell r="E2" t="str">
            <v>Abandoned Person entry</v>
          </cell>
          <cell r="F2" t="str">
            <v>Unidentified Dead Body</v>
          </cell>
          <cell r="G2" t="str">
            <v>Unnatural Death</v>
          </cell>
          <cell r="H2" t="str">
            <v>Gang Profile</v>
          </cell>
          <cell r="I2" t="str">
            <v>Member Details</v>
          </cell>
          <cell r="J2" t="str">
            <v>Gang Activity Details</v>
          </cell>
          <cell r="K2" t="str">
            <v>Unclaimed Property</v>
          </cell>
          <cell r="L2" t="str">
            <v>Raw Value</v>
          </cell>
          <cell r="M2" t="str">
            <v>Marks</v>
          </cell>
        </row>
        <row r="3">
          <cell r="B3" t="str">
            <v>A.Koduru</v>
          </cell>
          <cell r="C3" t="str">
            <v>NA</v>
          </cell>
          <cell r="D3" t="str">
            <v>NA</v>
          </cell>
          <cell r="E3" t="str">
            <v>NA</v>
          </cell>
          <cell r="F3" t="str">
            <v>NA</v>
          </cell>
          <cell r="G3" t="str">
            <v>NA</v>
          </cell>
          <cell r="H3" t="str">
            <v>NA</v>
          </cell>
          <cell r="I3" t="str">
            <v>NA</v>
          </cell>
          <cell r="J3" t="str">
            <v>NA</v>
          </cell>
          <cell r="K3" t="str">
            <v>NA</v>
          </cell>
          <cell r="L3">
            <v>0</v>
          </cell>
          <cell r="M3">
            <v>0</v>
          </cell>
        </row>
        <row r="4">
          <cell r="B4" t="str">
            <v>Anakapalli Rural</v>
          </cell>
          <cell r="C4" t="str">
            <v>NA</v>
          </cell>
          <cell r="D4" t="str">
            <v>NA</v>
          </cell>
          <cell r="E4" t="str">
            <v>NA</v>
          </cell>
          <cell r="F4" t="str">
            <v>NA</v>
          </cell>
          <cell r="G4" t="str">
            <v>NA</v>
          </cell>
          <cell r="H4" t="str">
            <v>NA</v>
          </cell>
          <cell r="I4" t="str">
            <v>NA</v>
          </cell>
          <cell r="J4" t="str">
            <v>NA</v>
          </cell>
          <cell r="K4" t="str">
            <v>NA</v>
          </cell>
          <cell r="L4">
            <v>0</v>
          </cell>
          <cell r="M4">
            <v>0</v>
          </cell>
        </row>
        <row r="5">
          <cell r="B5" t="str">
            <v>Anakapalli Town</v>
          </cell>
          <cell r="C5" t="str">
            <v>NA</v>
          </cell>
          <cell r="D5" t="str">
            <v>NA</v>
          </cell>
          <cell r="E5" t="str">
            <v>NA</v>
          </cell>
          <cell r="F5" t="str">
            <v>NA</v>
          </cell>
          <cell r="G5" t="str">
            <v>NA</v>
          </cell>
          <cell r="H5" t="str">
            <v>NA</v>
          </cell>
          <cell r="I5" t="str">
            <v>NA</v>
          </cell>
          <cell r="J5" t="str">
            <v>NA</v>
          </cell>
          <cell r="K5" t="str">
            <v>NA</v>
          </cell>
          <cell r="L5">
            <v>0</v>
          </cell>
          <cell r="M5">
            <v>0</v>
          </cell>
        </row>
        <row r="6">
          <cell r="B6" t="str">
            <v>Anakapalli Traffic</v>
          </cell>
          <cell r="C6" t="str">
            <v>NA</v>
          </cell>
          <cell r="D6" t="str">
            <v>NA</v>
          </cell>
          <cell r="E6" t="str">
            <v>NA</v>
          </cell>
          <cell r="F6" t="str">
            <v>NA</v>
          </cell>
          <cell r="G6" t="str">
            <v>NA</v>
          </cell>
          <cell r="H6" t="str">
            <v>NA</v>
          </cell>
          <cell r="I6" t="str">
            <v>NA</v>
          </cell>
          <cell r="J6" t="str">
            <v>NA</v>
          </cell>
          <cell r="K6" t="str">
            <v>NA</v>
          </cell>
          <cell r="L6">
            <v>0</v>
          </cell>
          <cell r="M6">
            <v>0</v>
          </cell>
        </row>
        <row r="7">
          <cell r="B7" t="str">
            <v>Atchutapuram</v>
          </cell>
          <cell r="C7" t="str">
            <v>NA</v>
          </cell>
          <cell r="D7" t="str">
            <v>NA</v>
          </cell>
          <cell r="E7" t="str">
            <v>NA</v>
          </cell>
          <cell r="F7" t="str">
            <v>NA</v>
          </cell>
          <cell r="G7" t="str">
            <v>NA</v>
          </cell>
          <cell r="H7" t="str">
            <v>NA</v>
          </cell>
          <cell r="I7" t="str">
            <v>NA</v>
          </cell>
          <cell r="J7" t="str">
            <v>NA</v>
          </cell>
          <cell r="K7" t="str">
            <v>NA</v>
          </cell>
          <cell r="L7">
            <v>0</v>
          </cell>
          <cell r="M7">
            <v>0</v>
          </cell>
        </row>
        <row r="8">
          <cell r="B8" t="str">
            <v>Butchiyyapeta</v>
          </cell>
          <cell r="C8" t="str">
            <v>NA</v>
          </cell>
          <cell r="D8" t="str">
            <v>NA</v>
          </cell>
          <cell r="E8" t="str">
            <v>NA</v>
          </cell>
          <cell r="F8" t="str">
            <v>NA</v>
          </cell>
          <cell r="G8" t="str">
            <v>NA</v>
          </cell>
          <cell r="H8" t="str">
            <v>NA</v>
          </cell>
          <cell r="I8" t="str">
            <v>NA</v>
          </cell>
          <cell r="J8" t="str">
            <v>NA</v>
          </cell>
          <cell r="K8" t="str">
            <v>NA</v>
          </cell>
          <cell r="L8">
            <v>0</v>
          </cell>
          <cell r="M8">
            <v>0</v>
          </cell>
        </row>
        <row r="9">
          <cell r="B9" t="str">
            <v>Cheedikada</v>
          </cell>
          <cell r="C9" t="str">
            <v>NA</v>
          </cell>
          <cell r="D9" t="str">
            <v>NA</v>
          </cell>
          <cell r="E9" t="str">
            <v>NA</v>
          </cell>
          <cell r="F9" t="str">
            <v>NA</v>
          </cell>
          <cell r="G9" t="str">
            <v>NA</v>
          </cell>
          <cell r="H9" t="str">
            <v>NA</v>
          </cell>
          <cell r="I9" t="str">
            <v>NA</v>
          </cell>
          <cell r="J9" t="str">
            <v>NA</v>
          </cell>
          <cell r="K9" t="str">
            <v>NA</v>
          </cell>
          <cell r="L9">
            <v>0</v>
          </cell>
          <cell r="M9">
            <v>0</v>
          </cell>
        </row>
        <row r="10">
          <cell r="B10" t="str">
            <v>Chodavaram</v>
          </cell>
          <cell r="C10" t="str">
            <v>NA</v>
          </cell>
          <cell r="D10" t="str">
            <v>NA</v>
          </cell>
          <cell r="E10" t="str">
            <v>NA</v>
          </cell>
          <cell r="F10" t="str">
            <v>NA</v>
          </cell>
          <cell r="G10" t="str">
            <v>NA</v>
          </cell>
          <cell r="H10" t="str">
            <v>NA</v>
          </cell>
          <cell r="I10" t="str">
            <v>NA</v>
          </cell>
          <cell r="J10" t="str">
            <v>NA</v>
          </cell>
          <cell r="K10" t="str">
            <v>NA</v>
          </cell>
          <cell r="L10">
            <v>0</v>
          </cell>
          <cell r="M10">
            <v>0</v>
          </cell>
        </row>
        <row r="11">
          <cell r="B11" t="str">
            <v>Devarapalli</v>
          </cell>
          <cell r="C11" t="str">
            <v>NA</v>
          </cell>
          <cell r="D11" t="str">
            <v>NA</v>
          </cell>
          <cell r="E11" t="str">
            <v>NA</v>
          </cell>
          <cell r="F11" t="str">
            <v>NA</v>
          </cell>
          <cell r="G11" t="str">
            <v>NA</v>
          </cell>
          <cell r="H11" t="str">
            <v>NA</v>
          </cell>
          <cell r="I11" t="str">
            <v>NA</v>
          </cell>
          <cell r="J11" t="str">
            <v>NA</v>
          </cell>
          <cell r="K11" t="str">
            <v>NA</v>
          </cell>
          <cell r="L11">
            <v>0</v>
          </cell>
          <cell r="M11">
            <v>0</v>
          </cell>
        </row>
        <row r="12">
          <cell r="B12" t="str">
            <v>Golugonda</v>
          </cell>
          <cell r="C12" t="str">
            <v>NA</v>
          </cell>
          <cell r="D12" t="str">
            <v>NA</v>
          </cell>
          <cell r="E12" t="str">
            <v>NA</v>
          </cell>
          <cell r="F12" t="str">
            <v>NA</v>
          </cell>
          <cell r="G12" t="str">
            <v>NA</v>
          </cell>
          <cell r="H12" t="str">
            <v>NA</v>
          </cell>
          <cell r="I12" t="str">
            <v>NA</v>
          </cell>
          <cell r="J12" t="str">
            <v>NA</v>
          </cell>
          <cell r="K12" t="str">
            <v>NA</v>
          </cell>
          <cell r="L12">
            <v>0</v>
          </cell>
          <cell r="M12">
            <v>0</v>
          </cell>
        </row>
        <row r="13">
          <cell r="B13" t="str">
            <v>K.D.Peta</v>
          </cell>
          <cell r="C13" t="str">
            <v>NA</v>
          </cell>
          <cell r="D13" t="str">
            <v>NA</v>
          </cell>
          <cell r="E13" t="str">
            <v>NA</v>
          </cell>
          <cell r="F13" t="str">
            <v>NA</v>
          </cell>
          <cell r="G13" t="str">
            <v>NA</v>
          </cell>
          <cell r="H13" t="str">
            <v>NA</v>
          </cell>
          <cell r="I13" t="str">
            <v>NA</v>
          </cell>
          <cell r="J13" t="str">
            <v>NA</v>
          </cell>
          <cell r="K13" t="str">
            <v>NA</v>
          </cell>
          <cell r="L13">
            <v>0</v>
          </cell>
          <cell r="M13">
            <v>0</v>
          </cell>
        </row>
        <row r="14">
          <cell r="B14" t="str">
            <v>K.Kotapadu</v>
          </cell>
          <cell r="C14" t="str">
            <v>NA</v>
          </cell>
          <cell r="D14" t="str">
            <v>NA</v>
          </cell>
          <cell r="E14" t="str">
            <v>NA</v>
          </cell>
          <cell r="F14" t="str">
            <v>NA</v>
          </cell>
          <cell r="G14" t="str">
            <v>NA</v>
          </cell>
          <cell r="H14" t="str">
            <v>NA</v>
          </cell>
          <cell r="I14" t="str">
            <v>NA</v>
          </cell>
          <cell r="J14" t="str">
            <v>NA</v>
          </cell>
          <cell r="K14" t="str">
            <v>NA</v>
          </cell>
          <cell r="L14">
            <v>0</v>
          </cell>
          <cell r="M14">
            <v>0</v>
          </cell>
        </row>
        <row r="15">
          <cell r="B15" t="str">
            <v>Kasimkota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  <cell r="G15" t="str">
            <v>NA</v>
          </cell>
          <cell r="H15" t="str">
            <v>NA</v>
          </cell>
          <cell r="I15" t="str">
            <v>NA</v>
          </cell>
          <cell r="J15" t="str">
            <v>NA</v>
          </cell>
          <cell r="K15" t="str">
            <v>NA</v>
          </cell>
          <cell r="L15">
            <v>0</v>
          </cell>
          <cell r="M15">
            <v>0</v>
          </cell>
        </row>
        <row r="16">
          <cell r="B16" t="str">
            <v>Kotavurtla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  <cell r="G16" t="str">
            <v>NA</v>
          </cell>
          <cell r="H16" t="str">
            <v>NA</v>
          </cell>
          <cell r="I16" t="str">
            <v>NA</v>
          </cell>
          <cell r="J16" t="str">
            <v>NA</v>
          </cell>
          <cell r="K16" t="str">
            <v>NA</v>
          </cell>
          <cell r="L16">
            <v>0</v>
          </cell>
          <cell r="M16">
            <v>0</v>
          </cell>
        </row>
        <row r="17">
          <cell r="B17" t="str">
            <v>Kothakota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  <cell r="G17" t="str">
            <v>NA</v>
          </cell>
          <cell r="H17" t="str">
            <v>NA</v>
          </cell>
          <cell r="I17" t="str">
            <v>NA</v>
          </cell>
          <cell r="J17" t="str">
            <v>NA</v>
          </cell>
          <cell r="K17" t="str">
            <v>NA</v>
          </cell>
          <cell r="L17">
            <v>0</v>
          </cell>
          <cell r="M17">
            <v>0</v>
          </cell>
        </row>
        <row r="18">
          <cell r="B18" t="str">
            <v>Mahila UPS, Anakapalli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  <cell r="G18" t="str">
            <v>NA</v>
          </cell>
          <cell r="H18" t="str">
            <v>NA</v>
          </cell>
          <cell r="I18" t="str">
            <v>NA</v>
          </cell>
          <cell r="J18" t="str">
            <v>NA</v>
          </cell>
          <cell r="K18" t="str">
            <v>NA</v>
          </cell>
          <cell r="L18">
            <v>0</v>
          </cell>
          <cell r="M18">
            <v>0</v>
          </cell>
        </row>
        <row r="19">
          <cell r="B19" t="str">
            <v>Makavarapalem</v>
          </cell>
          <cell r="C19" t="str">
            <v>NA</v>
          </cell>
          <cell r="D19" t="str">
            <v>NA</v>
          </cell>
          <cell r="E19" t="str">
            <v>NA</v>
          </cell>
          <cell r="F19" t="str">
            <v>NA</v>
          </cell>
          <cell r="G19" t="str">
            <v>NA</v>
          </cell>
          <cell r="H19" t="str">
            <v>NA</v>
          </cell>
          <cell r="I19" t="str">
            <v>NA</v>
          </cell>
          <cell r="J19" t="str">
            <v>NA</v>
          </cell>
          <cell r="K19" t="str">
            <v>NA</v>
          </cell>
          <cell r="L19">
            <v>0</v>
          </cell>
          <cell r="M19">
            <v>0</v>
          </cell>
        </row>
        <row r="20">
          <cell r="B20" t="str">
            <v>Munagapaka</v>
          </cell>
          <cell r="C20" t="str">
            <v>NA</v>
          </cell>
          <cell r="D20" t="str">
            <v>NA</v>
          </cell>
          <cell r="E20" t="str">
            <v>NA</v>
          </cell>
          <cell r="F20" t="str">
            <v>NA</v>
          </cell>
          <cell r="G20" t="str">
            <v>NA</v>
          </cell>
          <cell r="H20" t="str">
            <v>NA</v>
          </cell>
          <cell r="I20" t="str">
            <v>NA</v>
          </cell>
          <cell r="J20" t="str">
            <v>NA</v>
          </cell>
          <cell r="K20" t="str">
            <v>NA</v>
          </cell>
          <cell r="L20">
            <v>0</v>
          </cell>
          <cell r="M20">
            <v>0</v>
          </cell>
        </row>
        <row r="21">
          <cell r="B21" t="str">
            <v>Nakkapalli</v>
          </cell>
          <cell r="C21" t="str">
            <v>NA</v>
          </cell>
          <cell r="D21" t="str">
            <v>NA</v>
          </cell>
          <cell r="E21" t="str">
            <v>NA</v>
          </cell>
          <cell r="F21" t="str">
            <v>NA</v>
          </cell>
          <cell r="G21" t="str">
            <v>NA</v>
          </cell>
          <cell r="H21" t="str">
            <v>NA</v>
          </cell>
          <cell r="I21" t="str">
            <v>NA</v>
          </cell>
          <cell r="J21" t="str">
            <v>NA</v>
          </cell>
          <cell r="K21" t="str">
            <v>NA</v>
          </cell>
          <cell r="L21">
            <v>0</v>
          </cell>
          <cell r="M21">
            <v>0</v>
          </cell>
        </row>
        <row r="22">
          <cell r="B22" t="str">
            <v>Narsipatnam Rural</v>
          </cell>
          <cell r="C22" t="str">
            <v>NA</v>
          </cell>
          <cell r="D22" t="str">
            <v>NA</v>
          </cell>
          <cell r="E22" t="str">
            <v>NA</v>
          </cell>
          <cell r="F22" t="str">
            <v>NA</v>
          </cell>
          <cell r="G22" t="str">
            <v>NA</v>
          </cell>
          <cell r="H22" t="str">
            <v>NA</v>
          </cell>
          <cell r="I22" t="str">
            <v>NA</v>
          </cell>
          <cell r="J22" t="str">
            <v>NA</v>
          </cell>
          <cell r="K22" t="str">
            <v>NA</v>
          </cell>
          <cell r="L22">
            <v>0</v>
          </cell>
          <cell r="M22">
            <v>0</v>
          </cell>
        </row>
        <row r="23">
          <cell r="B23" t="str">
            <v>Narsipatnam Town</v>
          </cell>
          <cell r="C23" t="str">
            <v>NA</v>
          </cell>
          <cell r="D23" t="str">
            <v>NA</v>
          </cell>
          <cell r="E23" t="str">
            <v>NA</v>
          </cell>
          <cell r="F23" t="str">
            <v>NA</v>
          </cell>
          <cell r="G23" t="str">
            <v>NA</v>
          </cell>
          <cell r="H23" t="str">
            <v>NA</v>
          </cell>
          <cell r="I23" t="str">
            <v>NA</v>
          </cell>
          <cell r="J23" t="str">
            <v>NA</v>
          </cell>
          <cell r="K23" t="str">
            <v>NA</v>
          </cell>
          <cell r="L23">
            <v>0</v>
          </cell>
          <cell r="M23">
            <v>0</v>
          </cell>
        </row>
        <row r="24">
          <cell r="B24" t="str">
            <v>Nathavaram</v>
          </cell>
          <cell r="C24" t="str">
            <v>NA</v>
          </cell>
          <cell r="D24" t="str">
            <v>NA</v>
          </cell>
          <cell r="E24" t="str">
            <v>NA</v>
          </cell>
          <cell r="F24" t="str">
            <v>NA</v>
          </cell>
          <cell r="G24" t="str">
            <v>NA</v>
          </cell>
          <cell r="H24" t="str">
            <v>NA</v>
          </cell>
          <cell r="I24" t="str">
            <v>NA</v>
          </cell>
          <cell r="J24" t="str">
            <v>NA</v>
          </cell>
          <cell r="K24" t="str">
            <v>NA</v>
          </cell>
          <cell r="L24">
            <v>0</v>
          </cell>
          <cell r="M24">
            <v>0</v>
          </cell>
        </row>
        <row r="25">
          <cell r="B25" t="str">
            <v>Parawada</v>
          </cell>
          <cell r="C25" t="str">
            <v>NA</v>
          </cell>
          <cell r="D25" t="str">
            <v>NA</v>
          </cell>
          <cell r="E25" t="str">
            <v>NA</v>
          </cell>
          <cell r="F25" t="str">
            <v>NA</v>
          </cell>
          <cell r="G25" t="str">
            <v>NA</v>
          </cell>
          <cell r="H25" t="str">
            <v>NA</v>
          </cell>
          <cell r="I25" t="str">
            <v>NA</v>
          </cell>
          <cell r="J25" t="str">
            <v>NA</v>
          </cell>
          <cell r="K25" t="str">
            <v>NA</v>
          </cell>
          <cell r="L25">
            <v>0</v>
          </cell>
          <cell r="M25">
            <v>0</v>
          </cell>
        </row>
        <row r="26">
          <cell r="B26" t="str">
            <v>Payakaraopeta</v>
          </cell>
          <cell r="C26" t="str">
            <v>NA</v>
          </cell>
          <cell r="D26" t="str">
            <v>NA</v>
          </cell>
          <cell r="E26" t="str">
            <v>NA</v>
          </cell>
          <cell r="F26" t="str">
            <v>NA</v>
          </cell>
          <cell r="G26" t="str">
            <v>NA</v>
          </cell>
          <cell r="H26" t="str">
            <v>NA</v>
          </cell>
          <cell r="I26" t="str">
            <v>NA</v>
          </cell>
          <cell r="J26" t="str">
            <v>NA</v>
          </cell>
          <cell r="K26" t="str">
            <v>NA</v>
          </cell>
          <cell r="L26">
            <v>0</v>
          </cell>
          <cell r="M26">
            <v>0</v>
          </cell>
        </row>
        <row r="27">
          <cell r="B27" t="str">
            <v>Rambilli</v>
          </cell>
          <cell r="C27" t="str">
            <v>NA</v>
          </cell>
          <cell r="D27" t="str">
            <v>NA</v>
          </cell>
          <cell r="E27" t="str">
            <v>NA</v>
          </cell>
          <cell r="F27" t="str">
            <v>NA</v>
          </cell>
          <cell r="G27" t="str">
            <v>NA</v>
          </cell>
          <cell r="H27" t="str">
            <v>NA</v>
          </cell>
          <cell r="I27" t="str">
            <v>NA</v>
          </cell>
          <cell r="J27" t="str">
            <v>NA</v>
          </cell>
          <cell r="K27" t="str">
            <v>NA</v>
          </cell>
          <cell r="L27">
            <v>0</v>
          </cell>
          <cell r="M27">
            <v>0</v>
          </cell>
        </row>
        <row r="28">
          <cell r="B28" t="str">
            <v>Ravikamatham</v>
          </cell>
          <cell r="C28" t="str">
            <v>NA</v>
          </cell>
          <cell r="D28" t="str">
            <v>NA</v>
          </cell>
          <cell r="E28" t="str">
            <v>NA</v>
          </cell>
          <cell r="F28" t="str">
            <v>NA</v>
          </cell>
          <cell r="G28" t="str">
            <v>NA</v>
          </cell>
          <cell r="H28" t="str">
            <v>NA</v>
          </cell>
          <cell r="I28" t="str">
            <v>NA</v>
          </cell>
          <cell r="J28" t="str">
            <v>NA</v>
          </cell>
          <cell r="K28" t="str">
            <v>NA</v>
          </cell>
          <cell r="L28">
            <v>0</v>
          </cell>
          <cell r="M28">
            <v>0</v>
          </cell>
        </row>
        <row r="29">
          <cell r="B29" t="str">
            <v>Rolugunta</v>
          </cell>
          <cell r="C29" t="str">
            <v>NA</v>
          </cell>
          <cell r="D29" t="str">
            <v>NA</v>
          </cell>
          <cell r="E29" t="str">
            <v>NA</v>
          </cell>
          <cell r="F29" t="str">
            <v>NA</v>
          </cell>
          <cell r="G29" t="str">
            <v>NA</v>
          </cell>
          <cell r="H29" t="str">
            <v>NA</v>
          </cell>
          <cell r="I29" t="str">
            <v>NA</v>
          </cell>
          <cell r="J29" t="str">
            <v>NA</v>
          </cell>
          <cell r="K29" t="str">
            <v>NA</v>
          </cell>
          <cell r="L29">
            <v>0</v>
          </cell>
          <cell r="M29">
            <v>0</v>
          </cell>
        </row>
        <row r="30">
          <cell r="B30" t="str">
            <v>S.Rayavaram</v>
          </cell>
          <cell r="C30" t="str">
            <v>NA</v>
          </cell>
          <cell r="D30" t="str">
            <v>NA</v>
          </cell>
          <cell r="E30" t="str">
            <v>NA</v>
          </cell>
          <cell r="F30" t="str">
            <v>NA</v>
          </cell>
          <cell r="G30" t="str">
            <v>NA</v>
          </cell>
          <cell r="H30" t="str">
            <v>NA</v>
          </cell>
          <cell r="I30" t="str">
            <v>NA</v>
          </cell>
          <cell r="J30" t="str">
            <v>NA</v>
          </cell>
          <cell r="K30" t="str">
            <v>NA</v>
          </cell>
          <cell r="L30">
            <v>0</v>
          </cell>
          <cell r="M30">
            <v>0</v>
          </cell>
        </row>
        <row r="31">
          <cell r="B31" t="str">
            <v>Sabbavaram</v>
          </cell>
          <cell r="C31" t="str">
            <v>NA</v>
          </cell>
          <cell r="D31" t="str">
            <v>NA</v>
          </cell>
          <cell r="E31" t="str">
            <v>NA</v>
          </cell>
          <cell r="F31" t="str">
            <v>NA</v>
          </cell>
          <cell r="G31" t="str">
            <v>NA</v>
          </cell>
          <cell r="H31" t="str">
            <v>NA</v>
          </cell>
          <cell r="I31" t="str">
            <v>NA</v>
          </cell>
          <cell r="J31" t="str">
            <v>NA</v>
          </cell>
          <cell r="K31" t="str">
            <v>NA</v>
          </cell>
          <cell r="L31">
            <v>0</v>
          </cell>
          <cell r="M31">
            <v>0</v>
          </cell>
        </row>
        <row r="32">
          <cell r="B32" t="str">
            <v>V.Madugula</v>
          </cell>
          <cell r="C32" t="str">
            <v>NA</v>
          </cell>
          <cell r="D32" t="str">
            <v>NA</v>
          </cell>
          <cell r="E32" t="str">
            <v>NA</v>
          </cell>
          <cell r="F32" t="str">
            <v>NA</v>
          </cell>
          <cell r="G32" t="str">
            <v>NA</v>
          </cell>
          <cell r="H32" t="str">
            <v>NA</v>
          </cell>
          <cell r="I32" t="str">
            <v>NA</v>
          </cell>
          <cell r="J32" t="str">
            <v>NA</v>
          </cell>
          <cell r="K32" t="str">
            <v>NA</v>
          </cell>
          <cell r="L32">
            <v>0</v>
          </cell>
          <cell r="M32">
            <v>0</v>
          </cell>
        </row>
        <row r="33">
          <cell r="B33" t="str">
            <v>Yelamanchili Rural</v>
          </cell>
          <cell r="C33" t="str">
            <v>NA</v>
          </cell>
          <cell r="D33" t="str">
            <v>NA</v>
          </cell>
          <cell r="E33" t="str">
            <v>NA</v>
          </cell>
          <cell r="F33" t="str">
            <v>NA</v>
          </cell>
          <cell r="G33" t="str">
            <v>NA</v>
          </cell>
          <cell r="H33" t="str">
            <v>NA</v>
          </cell>
          <cell r="I33" t="str">
            <v>NA</v>
          </cell>
          <cell r="J33" t="str">
            <v>NA</v>
          </cell>
          <cell r="K33" t="str">
            <v>NA</v>
          </cell>
          <cell r="L33">
            <v>0</v>
          </cell>
          <cell r="M33">
            <v>0</v>
          </cell>
        </row>
        <row r="34">
          <cell r="B34" t="str">
            <v>Yelamanchili Town</v>
          </cell>
          <cell r="C34" t="str">
            <v>NA</v>
          </cell>
          <cell r="D34" t="str">
            <v>NA</v>
          </cell>
          <cell r="E34" t="str">
            <v>NA</v>
          </cell>
          <cell r="F34" t="str">
            <v>NA</v>
          </cell>
          <cell r="G34" t="str">
            <v>NA</v>
          </cell>
          <cell r="H34" t="str">
            <v>NA</v>
          </cell>
          <cell r="I34" t="str">
            <v>NA</v>
          </cell>
          <cell r="J34" t="str">
            <v>NA</v>
          </cell>
          <cell r="K34" t="str">
            <v>NA</v>
          </cell>
          <cell r="L34">
            <v>0</v>
          </cell>
          <cell r="M34">
            <v>0</v>
          </cell>
        </row>
        <row r="35">
          <cell r="B35" t="str">
            <v>Yelamanchili Traffic</v>
          </cell>
          <cell r="C35" t="str">
            <v>NA</v>
          </cell>
          <cell r="D35" t="str">
            <v>NA</v>
          </cell>
          <cell r="E35" t="str">
            <v>NA</v>
          </cell>
          <cell r="F35" t="str">
            <v>NA</v>
          </cell>
          <cell r="G35" t="str">
            <v>NA</v>
          </cell>
          <cell r="H35" t="str">
            <v>NA</v>
          </cell>
          <cell r="I35" t="str">
            <v>NA</v>
          </cell>
          <cell r="J35" t="str">
            <v>NA</v>
          </cell>
          <cell r="K35" t="str">
            <v>NA</v>
          </cell>
          <cell r="L35">
            <v>0</v>
          </cell>
          <cell r="M35">
            <v>0</v>
          </cell>
        </row>
        <row r="36">
          <cell r="C36" t="str">
            <v>NA</v>
          </cell>
          <cell r="D36" t="str">
            <v>NA</v>
          </cell>
          <cell r="E36" t="str">
            <v>NA</v>
          </cell>
          <cell r="F36" t="str">
            <v>NA</v>
          </cell>
          <cell r="G36" t="str">
            <v>NA</v>
          </cell>
          <cell r="H36" t="str">
            <v>NA</v>
          </cell>
          <cell r="I36" t="str">
            <v>NA</v>
          </cell>
          <cell r="J36" t="str">
            <v>NA</v>
          </cell>
          <cell r="K36" t="str">
            <v>NA</v>
          </cell>
          <cell r="L36">
            <v>0</v>
          </cell>
          <cell r="M36">
            <v>0</v>
          </cell>
        </row>
      </sheetData>
      <sheetData sheetId="7">
        <row r="2">
          <cell r="B2" t="str">
            <v>PS Name</v>
          </cell>
          <cell r="C2" t="str">
            <v>No. of Zero FIRs Registered</v>
          </cell>
          <cell r="D2" t="str">
            <v>Pending to Transfer</v>
          </cell>
          <cell r="E2" t="str">
            <v>No. of Zero FIRs Received</v>
          </cell>
          <cell r="F2" t="str">
            <v>Pending to  Re-Register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Anakapalli Rural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Town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Atchutapuram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Butchiyyapeta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Cheedikada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Chodavaram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Devarapalli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Golugonda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K.D.Peta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K.Kotapadu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Kasimkota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Kotavurtla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Kothakota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Makavarapalem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Munagapaka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Nakkapalli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Nathavaram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Parawada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Payakaraopeta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Rambilli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Ravikamatham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Rolugunta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S.Rayavaram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Sabbavaram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V.Madugula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</sheetData>
      <sheetData sheetId="8">
        <row r="2">
          <cell r="B2" t="str">
            <v>PS NAME</v>
          </cell>
          <cell r="C2" t="str">
            <v>Total Online Petitions</v>
          </cell>
          <cell r="D2" t="str">
            <v>Total Disposal Petitions</v>
          </cell>
          <cell r="E2" t="str">
            <v>Total Pending Petitions</v>
          </cell>
          <cell r="F2" t="str">
            <v>Pending %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5</v>
          </cell>
          <cell r="D3">
            <v>5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Anakapalli Rural</v>
          </cell>
          <cell r="C4">
            <v>38</v>
          </cell>
          <cell r="D4">
            <v>38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Town</v>
          </cell>
          <cell r="C5">
            <v>73</v>
          </cell>
          <cell r="D5">
            <v>73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Atchutapuram</v>
          </cell>
          <cell r="C7">
            <v>21</v>
          </cell>
          <cell r="D7">
            <v>21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Butchiyyapeta</v>
          </cell>
          <cell r="C8">
            <v>8</v>
          </cell>
          <cell r="D8">
            <v>8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Cheedikada</v>
          </cell>
          <cell r="C9">
            <v>18</v>
          </cell>
          <cell r="D9">
            <v>18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Chodavaram</v>
          </cell>
          <cell r="C10">
            <v>12</v>
          </cell>
          <cell r="D10">
            <v>12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Devarapalli</v>
          </cell>
          <cell r="C11">
            <v>3</v>
          </cell>
          <cell r="D11">
            <v>3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Golugonda</v>
          </cell>
          <cell r="C12">
            <v>6</v>
          </cell>
          <cell r="D12">
            <v>6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K.D.Peta</v>
          </cell>
          <cell r="C13">
            <v>7</v>
          </cell>
          <cell r="D13">
            <v>7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K.Kotapadu</v>
          </cell>
          <cell r="C14">
            <v>3</v>
          </cell>
          <cell r="D14">
            <v>3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Kasimkota</v>
          </cell>
          <cell r="C15">
            <v>16</v>
          </cell>
          <cell r="D15">
            <v>16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Kotavurtla</v>
          </cell>
          <cell r="C16">
            <v>7</v>
          </cell>
          <cell r="D16">
            <v>7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Kothakota</v>
          </cell>
          <cell r="C17">
            <v>4</v>
          </cell>
          <cell r="D17">
            <v>4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5</v>
          </cell>
          <cell r="D18">
            <v>5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Makavarapalem</v>
          </cell>
          <cell r="C19">
            <v>9</v>
          </cell>
          <cell r="D19">
            <v>9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Munagapaka</v>
          </cell>
          <cell r="C20">
            <v>8</v>
          </cell>
          <cell r="D20">
            <v>8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Nakkapalli</v>
          </cell>
          <cell r="C21">
            <v>11</v>
          </cell>
          <cell r="D21">
            <v>11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Narsipatnam Rural</v>
          </cell>
          <cell r="C22">
            <v>12</v>
          </cell>
          <cell r="D22">
            <v>12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Narsipatnam Town</v>
          </cell>
          <cell r="C23">
            <v>17</v>
          </cell>
          <cell r="D23">
            <v>17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Nathavaram</v>
          </cell>
          <cell r="C24">
            <v>16</v>
          </cell>
          <cell r="D24">
            <v>16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Parawada</v>
          </cell>
          <cell r="C25">
            <v>41</v>
          </cell>
          <cell r="D25">
            <v>41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Payakaraopeta</v>
          </cell>
          <cell r="C26">
            <v>12</v>
          </cell>
          <cell r="D26">
            <v>12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Rambilli</v>
          </cell>
          <cell r="C27">
            <v>23</v>
          </cell>
          <cell r="D27">
            <v>23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Ravikamatham</v>
          </cell>
          <cell r="C28">
            <v>7</v>
          </cell>
          <cell r="D28">
            <v>7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Rolugunta</v>
          </cell>
          <cell r="C29">
            <v>8</v>
          </cell>
          <cell r="D29">
            <v>8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S.Rayavaram</v>
          </cell>
          <cell r="C30">
            <v>20</v>
          </cell>
          <cell r="D30">
            <v>20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Sabbavaram</v>
          </cell>
          <cell r="C31">
            <v>22</v>
          </cell>
          <cell r="D31">
            <v>22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Yelamanchili Rural</v>
          </cell>
          <cell r="C33">
            <v>9</v>
          </cell>
          <cell r="D33">
            <v>9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Yelamanchili Town</v>
          </cell>
          <cell r="C34">
            <v>20</v>
          </cell>
          <cell r="D34">
            <v>20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Yelamanchili Traffic</v>
          </cell>
          <cell r="C35">
            <v>5</v>
          </cell>
          <cell r="D35">
            <v>5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  <row r="36">
          <cell r="C36">
            <v>468</v>
          </cell>
          <cell r="D36">
            <v>468</v>
          </cell>
          <cell r="E36">
            <v>0</v>
          </cell>
          <cell r="F36">
            <v>0</v>
          </cell>
          <cell r="G36">
            <v>100</v>
          </cell>
          <cell r="H36">
            <v>5</v>
          </cell>
        </row>
      </sheetData>
      <sheetData sheetId="9">
        <row r="2">
          <cell r="B2" t="str">
            <v>PS NAME
(B)</v>
          </cell>
          <cell r="C2" t="str">
            <v>TOTAL 
FIRS
( C )</v>
          </cell>
          <cell r="D2" t="str">
            <v>TOTAL SIDs
CREATED
( D )</v>
          </cell>
          <cell r="E2" t="str">
            <v>FIRS HAVING SID (F )</v>
          </cell>
          <cell r="F2" t="str">
            <v>FIRS NOT 
HAVING  SID (G)</v>
          </cell>
          <cell r="G2" t="str">
            <v>E SAKSHYA COMPLIANCE %
F*100/C
RAW VALUE</v>
          </cell>
          <cell r="H2" t="str">
            <v>Marks</v>
          </cell>
        </row>
        <row r="4">
          <cell r="B4" t="str">
            <v>A.Koduru</v>
          </cell>
          <cell r="C4">
            <v>213</v>
          </cell>
          <cell r="D4">
            <v>426</v>
          </cell>
          <cell r="E4">
            <v>239</v>
          </cell>
          <cell r="F4">
            <v>-26</v>
          </cell>
          <cell r="G4">
            <v>100</v>
          </cell>
          <cell r="H4">
            <v>5</v>
          </cell>
        </row>
        <row r="5">
          <cell r="B5" t="str">
            <v>Anakapalli Rural</v>
          </cell>
          <cell r="C5">
            <v>558</v>
          </cell>
          <cell r="D5">
            <v>508</v>
          </cell>
          <cell r="E5">
            <v>242</v>
          </cell>
          <cell r="F5">
            <v>316</v>
          </cell>
          <cell r="G5">
            <v>43.369175627240146</v>
          </cell>
          <cell r="H5">
            <v>2.1684587813620073</v>
          </cell>
        </row>
        <row r="6">
          <cell r="B6" t="str">
            <v>Anakapalli Town</v>
          </cell>
          <cell r="C6">
            <v>722</v>
          </cell>
          <cell r="D6">
            <v>540</v>
          </cell>
          <cell r="E6">
            <v>291</v>
          </cell>
          <cell r="F6">
            <v>431</v>
          </cell>
          <cell r="G6">
            <v>40.304709141274238</v>
          </cell>
          <cell r="H6">
            <v>2.0152354570637119</v>
          </cell>
        </row>
        <row r="7">
          <cell r="B7" t="str">
            <v>Anakapalli Traffic</v>
          </cell>
          <cell r="C7">
            <v>233</v>
          </cell>
          <cell r="D7">
            <v>373</v>
          </cell>
          <cell r="E7">
            <v>147</v>
          </cell>
          <cell r="F7">
            <v>86</v>
          </cell>
          <cell r="G7">
            <v>63.090128755364809</v>
          </cell>
          <cell r="H7">
            <v>3.1545064377682408</v>
          </cell>
        </row>
        <row r="8">
          <cell r="B8" t="str">
            <v>Atchutapuram</v>
          </cell>
          <cell r="C8">
            <v>590</v>
          </cell>
          <cell r="D8">
            <v>406</v>
          </cell>
          <cell r="E8">
            <v>339</v>
          </cell>
          <cell r="F8">
            <v>251</v>
          </cell>
          <cell r="G8">
            <v>57.457627118644069</v>
          </cell>
          <cell r="H8">
            <v>2.8728813559322037</v>
          </cell>
        </row>
        <row r="9">
          <cell r="B9" t="str">
            <v>Butchiyyapeta</v>
          </cell>
          <cell r="C9">
            <v>355</v>
          </cell>
          <cell r="D9">
            <v>370</v>
          </cell>
          <cell r="E9">
            <v>337</v>
          </cell>
          <cell r="F9">
            <v>18</v>
          </cell>
          <cell r="G9">
            <v>94.929577464788736</v>
          </cell>
          <cell r="H9">
            <v>4.746478873239437</v>
          </cell>
        </row>
        <row r="10">
          <cell r="B10" t="str">
            <v>Cheedikada</v>
          </cell>
          <cell r="C10">
            <v>223</v>
          </cell>
          <cell r="D10">
            <v>268</v>
          </cell>
          <cell r="E10">
            <v>216</v>
          </cell>
          <cell r="F10">
            <v>7</v>
          </cell>
          <cell r="G10">
            <v>96.860986547085204</v>
          </cell>
          <cell r="H10">
            <v>4.8430493273542607</v>
          </cell>
        </row>
        <row r="11">
          <cell r="B11" t="str">
            <v>Chodavaram</v>
          </cell>
          <cell r="C11">
            <v>669</v>
          </cell>
          <cell r="D11">
            <v>626</v>
          </cell>
          <cell r="E11">
            <v>469</v>
          </cell>
          <cell r="F11">
            <v>200</v>
          </cell>
          <cell r="G11">
            <v>70.104633781763823</v>
          </cell>
          <cell r="H11">
            <v>3.5052316890881912</v>
          </cell>
        </row>
        <row r="12">
          <cell r="B12" t="str">
            <v>Devarapalli</v>
          </cell>
          <cell r="C12">
            <v>360</v>
          </cell>
          <cell r="D12">
            <v>372</v>
          </cell>
          <cell r="E12">
            <v>303</v>
          </cell>
          <cell r="F12">
            <v>57</v>
          </cell>
          <cell r="G12">
            <v>84.166666666666671</v>
          </cell>
          <cell r="H12">
            <v>4.2083333333333339</v>
          </cell>
        </row>
        <row r="13">
          <cell r="B13" t="str">
            <v>Golugonda</v>
          </cell>
          <cell r="C13">
            <v>265</v>
          </cell>
          <cell r="D13">
            <v>208</v>
          </cell>
          <cell r="E13">
            <v>174</v>
          </cell>
          <cell r="F13">
            <v>91</v>
          </cell>
          <cell r="G13">
            <v>65.660377358490564</v>
          </cell>
          <cell r="H13">
            <v>3.2830188679245285</v>
          </cell>
        </row>
        <row r="14">
          <cell r="B14" t="str">
            <v>K.D.Peta</v>
          </cell>
          <cell r="C14">
            <v>181</v>
          </cell>
          <cell r="D14">
            <v>174</v>
          </cell>
          <cell r="E14">
            <v>160</v>
          </cell>
          <cell r="F14">
            <v>21</v>
          </cell>
          <cell r="G14">
            <v>88.39779005524862</v>
          </cell>
          <cell r="H14">
            <v>4.4198895027624312</v>
          </cell>
        </row>
        <row r="15">
          <cell r="B15" t="str">
            <v>K.Kotapadu</v>
          </cell>
          <cell r="C15">
            <v>239</v>
          </cell>
          <cell r="D15">
            <v>258</v>
          </cell>
          <cell r="E15">
            <v>172</v>
          </cell>
          <cell r="F15">
            <v>67</v>
          </cell>
          <cell r="G15">
            <v>71.96652719665272</v>
          </cell>
          <cell r="H15">
            <v>3.5983263598326363</v>
          </cell>
        </row>
        <row r="16">
          <cell r="B16" t="str">
            <v>Kasimkota</v>
          </cell>
          <cell r="C16">
            <v>667</v>
          </cell>
          <cell r="D16">
            <v>506</v>
          </cell>
          <cell r="E16">
            <v>406</v>
          </cell>
          <cell r="F16">
            <v>261</v>
          </cell>
          <cell r="G16">
            <v>60.869565217391305</v>
          </cell>
          <cell r="H16">
            <v>3.0434782608695654</v>
          </cell>
        </row>
        <row r="17">
          <cell r="B17" t="str">
            <v>Kotavurtla</v>
          </cell>
          <cell r="C17">
            <v>308</v>
          </cell>
          <cell r="D17">
            <v>348</v>
          </cell>
          <cell r="E17">
            <v>303</v>
          </cell>
          <cell r="F17">
            <v>5</v>
          </cell>
          <cell r="G17">
            <v>98.376623376623371</v>
          </cell>
          <cell r="H17">
            <v>4.9188311688311686</v>
          </cell>
        </row>
        <row r="18">
          <cell r="B18" t="str">
            <v>Kothakota</v>
          </cell>
          <cell r="C18">
            <v>194</v>
          </cell>
          <cell r="D18">
            <v>128</v>
          </cell>
          <cell r="E18">
            <v>101</v>
          </cell>
          <cell r="F18">
            <v>93</v>
          </cell>
          <cell r="G18">
            <v>52.061855670103093</v>
          </cell>
          <cell r="H18">
            <v>2.6030927835051547</v>
          </cell>
        </row>
        <row r="19">
          <cell r="B19" t="str">
            <v>Mahila UPS, Anakapalli</v>
          </cell>
          <cell r="C19">
            <v>142</v>
          </cell>
          <cell r="D19">
            <v>177</v>
          </cell>
          <cell r="E19">
            <v>49</v>
          </cell>
          <cell r="F19">
            <v>93</v>
          </cell>
          <cell r="G19">
            <v>34.507042253521128</v>
          </cell>
          <cell r="H19">
            <v>1.7253521126760565</v>
          </cell>
        </row>
        <row r="20">
          <cell r="B20" t="str">
            <v>Makavarapalem</v>
          </cell>
          <cell r="C20">
            <v>401</v>
          </cell>
          <cell r="D20">
            <v>400</v>
          </cell>
          <cell r="E20">
            <v>297</v>
          </cell>
          <cell r="F20">
            <v>104</v>
          </cell>
          <cell r="G20">
            <v>74.064837905236914</v>
          </cell>
          <cell r="H20">
            <v>3.7032418952618458</v>
          </cell>
        </row>
        <row r="21">
          <cell r="B21" t="str">
            <v>Munagapaka</v>
          </cell>
          <cell r="C21">
            <v>438</v>
          </cell>
          <cell r="D21">
            <v>392</v>
          </cell>
          <cell r="E21">
            <v>224</v>
          </cell>
          <cell r="F21">
            <v>214</v>
          </cell>
          <cell r="G21">
            <v>51.141552511415526</v>
          </cell>
          <cell r="H21">
            <v>2.5570776255707766</v>
          </cell>
        </row>
        <row r="22">
          <cell r="B22" t="str">
            <v>Nakkapalli</v>
          </cell>
          <cell r="C22">
            <v>562</v>
          </cell>
          <cell r="D22">
            <v>749</v>
          </cell>
          <cell r="E22">
            <v>547</v>
          </cell>
          <cell r="F22">
            <v>15</v>
          </cell>
          <cell r="G22">
            <v>97.330960854092524</v>
          </cell>
          <cell r="H22">
            <v>4.8665480427046264</v>
          </cell>
        </row>
        <row r="23">
          <cell r="B23" t="str">
            <v>Narsipatnam Rural</v>
          </cell>
          <cell r="C23">
            <v>227</v>
          </cell>
          <cell r="D23">
            <v>187</v>
          </cell>
          <cell r="E23">
            <v>163</v>
          </cell>
          <cell r="F23">
            <v>64</v>
          </cell>
          <cell r="G23">
            <v>71.806167400881051</v>
          </cell>
          <cell r="H23">
            <v>3.5903083700440526</v>
          </cell>
        </row>
        <row r="24">
          <cell r="B24" t="str">
            <v>Narsipatnam Town</v>
          </cell>
          <cell r="C24">
            <v>511</v>
          </cell>
          <cell r="D24">
            <v>282</v>
          </cell>
          <cell r="E24">
            <v>200</v>
          </cell>
          <cell r="F24">
            <v>311</v>
          </cell>
          <cell r="G24">
            <v>39.138943248532293</v>
          </cell>
          <cell r="H24">
            <v>1.9569471624266148</v>
          </cell>
        </row>
        <row r="25">
          <cell r="B25" t="str">
            <v>Nathavaram</v>
          </cell>
          <cell r="C25">
            <v>314</v>
          </cell>
          <cell r="D25">
            <v>206</v>
          </cell>
          <cell r="E25">
            <v>142</v>
          </cell>
          <cell r="F25">
            <v>172</v>
          </cell>
          <cell r="G25">
            <v>45.222929936305732</v>
          </cell>
          <cell r="H25">
            <v>2.2611464968152868</v>
          </cell>
        </row>
        <row r="26">
          <cell r="B26" t="str">
            <v>Parawada</v>
          </cell>
          <cell r="C26">
            <v>820</v>
          </cell>
          <cell r="D26">
            <v>502</v>
          </cell>
          <cell r="E26">
            <v>316</v>
          </cell>
          <cell r="F26">
            <v>504</v>
          </cell>
          <cell r="G26">
            <v>38.536585365853661</v>
          </cell>
          <cell r="H26">
            <v>1.9268292682926831</v>
          </cell>
        </row>
        <row r="27">
          <cell r="B27" t="str">
            <v>Payakaraopeta</v>
          </cell>
          <cell r="C27">
            <v>776</v>
          </cell>
          <cell r="D27">
            <v>711</v>
          </cell>
          <cell r="E27">
            <v>609</v>
          </cell>
          <cell r="F27">
            <v>167</v>
          </cell>
          <cell r="G27">
            <v>78.479381443298962</v>
          </cell>
          <cell r="H27">
            <v>3.9239690721649483</v>
          </cell>
        </row>
        <row r="28">
          <cell r="B28" t="str">
            <v>Rambilli</v>
          </cell>
          <cell r="C28">
            <v>412</v>
          </cell>
          <cell r="D28">
            <v>312</v>
          </cell>
          <cell r="E28">
            <v>228</v>
          </cell>
          <cell r="F28">
            <v>184</v>
          </cell>
          <cell r="G28">
            <v>55.339805825242721</v>
          </cell>
          <cell r="H28">
            <v>2.766990291262136</v>
          </cell>
        </row>
        <row r="29">
          <cell r="B29" t="str">
            <v>Ravikamatham</v>
          </cell>
          <cell r="C29">
            <v>219</v>
          </cell>
          <cell r="D29">
            <v>243</v>
          </cell>
          <cell r="E29">
            <v>203</v>
          </cell>
          <cell r="F29">
            <v>16</v>
          </cell>
          <cell r="G29">
            <v>92.694063926940643</v>
          </cell>
          <cell r="H29">
            <v>4.634703196347032</v>
          </cell>
        </row>
        <row r="30">
          <cell r="B30" t="str">
            <v>Rolugunta</v>
          </cell>
          <cell r="C30">
            <v>234</v>
          </cell>
          <cell r="D30">
            <v>272</v>
          </cell>
          <cell r="E30">
            <v>163</v>
          </cell>
          <cell r="F30">
            <v>71</v>
          </cell>
          <cell r="G30">
            <v>69.658119658119659</v>
          </cell>
          <cell r="H30">
            <v>3.482905982905983</v>
          </cell>
        </row>
        <row r="31">
          <cell r="B31" t="str">
            <v>S.Rayavaram</v>
          </cell>
          <cell r="C31">
            <v>477</v>
          </cell>
          <cell r="D31">
            <v>549</v>
          </cell>
          <cell r="E31">
            <v>418</v>
          </cell>
          <cell r="F31">
            <v>59</v>
          </cell>
          <cell r="G31">
            <v>87.631027253668762</v>
          </cell>
          <cell r="H31">
            <v>4.3815513626834379</v>
          </cell>
        </row>
        <row r="32">
          <cell r="B32" t="str">
            <v>Sabbavaram</v>
          </cell>
          <cell r="C32">
            <v>540</v>
          </cell>
          <cell r="D32">
            <v>312</v>
          </cell>
          <cell r="E32">
            <v>253</v>
          </cell>
          <cell r="F32">
            <v>287</v>
          </cell>
          <cell r="G32">
            <v>46.851851851851855</v>
          </cell>
          <cell r="H32">
            <v>2.342592592592593</v>
          </cell>
        </row>
        <row r="33">
          <cell r="B33" t="str">
            <v>V.Madugula</v>
          </cell>
          <cell r="C33">
            <v>329</v>
          </cell>
          <cell r="D33">
            <v>594</v>
          </cell>
          <cell r="E33">
            <v>302</v>
          </cell>
          <cell r="F33">
            <v>27</v>
          </cell>
          <cell r="G33">
            <v>91.79331306990882</v>
          </cell>
          <cell r="H33">
            <v>4.589665653495441</v>
          </cell>
        </row>
        <row r="34">
          <cell r="B34" t="str">
            <v>Yelamanchili Rural</v>
          </cell>
          <cell r="C34">
            <v>350</v>
          </cell>
          <cell r="D34">
            <v>346</v>
          </cell>
          <cell r="E34">
            <v>321</v>
          </cell>
          <cell r="F34">
            <v>29</v>
          </cell>
          <cell r="G34">
            <v>91.714285714285708</v>
          </cell>
          <cell r="H34">
            <v>4.5857142857142854</v>
          </cell>
        </row>
        <row r="35">
          <cell r="B35" t="str">
            <v>Yelamanchili Town</v>
          </cell>
          <cell r="C35">
            <v>260</v>
          </cell>
          <cell r="D35">
            <v>308</v>
          </cell>
          <cell r="E35">
            <v>209</v>
          </cell>
          <cell r="F35">
            <v>51</v>
          </cell>
          <cell r="G35">
            <v>80.384615384615387</v>
          </cell>
          <cell r="H35">
            <v>4.0192307692307692</v>
          </cell>
        </row>
        <row r="36">
          <cell r="B36" t="str">
            <v>Yelamanchili Traffic</v>
          </cell>
          <cell r="C36">
            <v>46</v>
          </cell>
          <cell r="D36">
            <v>48</v>
          </cell>
          <cell r="E36">
            <v>38</v>
          </cell>
          <cell r="F36">
            <v>8</v>
          </cell>
          <cell r="G36">
            <v>82.608695652173907</v>
          </cell>
          <cell r="H36">
            <v>4.1304347826086953</v>
          </cell>
        </row>
        <row r="37">
          <cell r="C37">
            <v>12835</v>
          </cell>
          <cell r="D37">
            <v>12101</v>
          </cell>
          <cell r="E37">
            <v>8581</v>
          </cell>
          <cell r="F37">
            <v>4254</v>
          </cell>
          <cell r="G37">
            <v>70.197588582826739</v>
          </cell>
          <cell r="H37">
            <v>3.5098794291413382</v>
          </cell>
        </row>
      </sheetData>
      <sheetData sheetId="10">
        <row r="2">
          <cell r="B2" t="str">
            <v>PS Name</v>
          </cell>
          <cell r="C2" t="str">
            <v>Total Block Requests Received</v>
          </cell>
          <cell r="D2" t="str">
            <v>Blocked Requests (as on report generation date)</v>
          </cell>
          <cell r="E2" t="str">
            <v>Unblocked Requests (as on report generation date)</v>
          </cell>
          <cell r="F2" t="str">
            <v>Total Traceability Generated (as on report generation date)</v>
          </cell>
          <cell r="G2" t="str">
            <v>Unrecovered Traceability Available (as on report generation date)</v>
          </cell>
          <cell r="H2" t="str">
            <v>Recovered handsets</v>
          </cell>
          <cell r="I2" t="str">
            <v>Accuracy score 
(as per recovery %)
Accuracy score = (Total Recovered handsets by PS so far x 100)/Totaltraceability generated so far
(* so far means cumulative figure at the time of computing the score)</v>
          </cell>
          <cell r="J2" t="str">
            <v>Volume Score (as per no. of handsets recovered)
Volume score = ((Total Recovered handsets so far by PS – Minimum No. of handsets recovered by any PS so far in the District) x 100)/ (Maximum No.of handsets recovered by any PS so far in the DIstrict – Minimum No. ofhandsets recovered by any PS so far in the DIstrict)</v>
          </cell>
          <cell r="K2" t="str">
            <v>Final Score 70: 30
Final score = Accuracy score * 0.7 + Volume score*0.3</v>
          </cell>
          <cell r="L2" t="str">
            <v>Marks</v>
          </cell>
        </row>
        <row r="3">
          <cell r="B3" t="str">
            <v>A.Koduru</v>
          </cell>
          <cell r="H3">
            <v>0</v>
          </cell>
          <cell r="I3">
            <v>0</v>
          </cell>
          <cell r="J3" t="e">
            <v>#DIV/0!</v>
          </cell>
          <cell r="K3">
            <v>0</v>
          </cell>
          <cell r="L3">
            <v>0</v>
          </cell>
        </row>
        <row r="4">
          <cell r="B4" t="str">
            <v>Anakapalli Rural</v>
          </cell>
          <cell r="H4">
            <v>0</v>
          </cell>
          <cell r="I4">
            <v>0</v>
          </cell>
          <cell r="J4" t="e">
            <v>#DIV/0!</v>
          </cell>
          <cell r="K4">
            <v>0</v>
          </cell>
          <cell r="L4">
            <v>0</v>
          </cell>
        </row>
        <row r="5">
          <cell r="B5" t="str">
            <v>Anakapalli Town</v>
          </cell>
          <cell r="H5">
            <v>0</v>
          </cell>
          <cell r="I5">
            <v>0</v>
          </cell>
          <cell r="J5" t="e">
            <v>#DIV/0!</v>
          </cell>
          <cell r="K5">
            <v>0</v>
          </cell>
          <cell r="L5">
            <v>0</v>
          </cell>
        </row>
        <row r="6">
          <cell r="B6" t="str">
            <v>Anakapalli Traffic</v>
          </cell>
          <cell r="H6">
            <v>0</v>
          </cell>
          <cell r="I6">
            <v>0</v>
          </cell>
          <cell r="J6" t="e">
            <v>#DIV/0!</v>
          </cell>
          <cell r="K6">
            <v>0</v>
          </cell>
          <cell r="L6">
            <v>0</v>
          </cell>
        </row>
        <row r="7">
          <cell r="B7" t="str">
            <v>Atchutapuram</v>
          </cell>
          <cell r="H7">
            <v>0</v>
          </cell>
          <cell r="I7">
            <v>0</v>
          </cell>
          <cell r="J7" t="e">
            <v>#DIV/0!</v>
          </cell>
          <cell r="K7">
            <v>0</v>
          </cell>
          <cell r="L7">
            <v>0</v>
          </cell>
        </row>
        <row r="8">
          <cell r="B8" t="str">
            <v>Butchiyyapeta</v>
          </cell>
          <cell r="H8">
            <v>0</v>
          </cell>
          <cell r="I8">
            <v>0</v>
          </cell>
          <cell r="J8" t="e">
            <v>#DIV/0!</v>
          </cell>
          <cell r="K8">
            <v>0</v>
          </cell>
          <cell r="L8">
            <v>0</v>
          </cell>
        </row>
        <row r="9">
          <cell r="B9" t="str">
            <v>Cheedikada</v>
          </cell>
          <cell r="H9">
            <v>0</v>
          </cell>
          <cell r="I9">
            <v>0</v>
          </cell>
          <cell r="J9" t="e">
            <v>#DIV/0!</v>
          </cell>
          <cell r="K9">
            <v>0</v>
          </cell>
          <cell r="L9">
            <v>0</v>
          </cell>
        </row>
        <row r="10">
          <cell r="B10" t="str">
            <v>Chodavaram</v>
          </cell>
          <cell r="H10">
            <v>0</v>
          </cell>
          <cell r="I10">
            <v>0</v>
          </cell>
          <cell r="J10" t="e">
            <v>#DIV/0!</v>
          </cell>
          <cell r="K10">
            <v>0</v>
          </cell>
          <cell r="L10">
            <v>0</v>
          </cell>
        </row>
        <row r="11">
          <cell r="B11" t="str">
            <v>Devarapalli</v>
          </cell>
          <cell r="H11">
            <v>0</v>
          </cell>
          <cell r="I11">
            <v>0</v>
          </cell>
          <cell r="J11" t="e">
            <v>#DIV/0!</v>
          </cell>
          <cell r="K11">
            <v>0</v>
          </cell>
          <cell r="L11">
            <v>0</v>
          </cell>
        </row>
        <row r="12">
          <cell r="B12" t="str">
            <v>Golugonda</v>
          </cell>
          <cell r="H12">
            <v>0</v>
          </cell>
          <cell r="I12">
            <v>0</v>
          </cell>
          <cell r="J12" t="e">
            <v>#DIV/0!</v>
          </cell>
          <cell r="K12">
            <v>0</v>
          </cell>
          <cell r="L12">
            <v>0</v>
          </cell>
        </row>
        <row r="13">
          <cell r="B13" t="str">
            <v>K.D.Peta</v>
          </cell>
          <cell r="H13">
            <v>0</v>
          </cell>
          <cell r="I13">
            <v>0</v>
          </cell>
          <cell r="J13" t="e">
            <v>#DIV/0!</v>
          </cell>
          <cell r="K13">
            <v>0</v>
          </cell>
          <cell r="L13">
            <v>0</v>
          </cell>
        </row>
        <row r="14">
          <cell r="B14" t="str">
            <v>K.Kotapadu</v>
          </cell>
          <cell r="H14">
            <v>0</v>
          </cell>
          <cell r="I14">
            <v>0</v>
          </cell>
          <cell r="J14" t="e">
            <v>#DIV/0!</v>
          </cell>
          <cell r="K14">
            <v>0</v>
          </cell>
          <cell r="L14">
            <v>0</v>
          </cell>
        </row>
        <row r="15">
          <cell r="B15" t="str">
            <v>Kasimkota</v>
          </cell>
          <cell r="H15">
            <v>0</v>
          </cell>
          <cell r="I15">
            <v>0</v>
          </cell>
          <cell r="J15" t="e">
            <v>#DIV/0!</v>
          </cell>
          <cell r="K15">
            <v>0</v>
          </cell>
          <cell r="L15">
            <v>0</v>
          </cell>
        </row>
        <row r="16">
          <cell r="B16" t="str">
            <v>Kotavurtla</v>
          </cell>
          <cell r="H16">
            <v>0</v>
          </cell>
          <cell r="I16">
            <v>0</v>
          </cell>
          <cell r="J16" t="e">
            <v>#DIV/0!</v>
          </cell>
          <cell r="K16">
            <v>0</v>
          </cell>
          <cell r="L16">
            <v>0</v>
          </cell>
        </row>
        <row r="17">
          <cell r="B17" t="str">
            <v>Kothakota</v>
          </cell>
          <cell r="H17">
            <v>0</v>
          </cell>
          <cell r="I17">
            <v>0</v>
          </cell>
          <cell r="J17" t="e">
            <v>#DIV/0!</v>
          </cell>
          <cell r="K17">
            <v>0</v>
          </cell>
          <cell r="L17">
            <v>0</v>
          </cell>
        </row>
        <row r="18">
          <cell r="B18" t="str">
            <v>Mahila UPS, Anakapalli</v>
          </cell>
          <cell r="H18">
            <v>0</v>
          </cell>
          <cell r="I18">
            <v>0</v>
          </cell>
          <cell r="J18" t="e">
            <v>#DIV/0!</v>
          </cell>
          <cell r="K18">
            <v>0</v>
          </cell>
          <cell r="L18">
            <v>0</v>
          </cell>
        </row>
        <row r="19">
          <cell r="B19" t="str">
            <v>Makavarapalem</v>
          </cell>
          <cell r="H19">
            <v>0</v>
          </cell>
          <cell r="I19">
            <v>0</v>
          </cell>
          <cell r="J19" t="e">
            <v>#DIV/0!</v>
          </cell>
          <cell r="K19">
            <v>0</v>
          </cell>
          <cell r="L19">
            <v>0</v>
          </cell>
        </row>
        <row r="20">
          <cell r="B20" t="str">
            <v>Munagapaka</v>
          </cell>
          <cell r="H20">
            <v>0</v>
          </cell>
          <cell r="I20">
            <v>0</v>
          </cell>
          <cell r="J20" t="e">
            <v>#DIV/0!</v>
          </cell>
          <cell r="K20">
            <v>0</v>
          </cell>
          <cell r="L20">
            <v>0</v>
          </cell>
        </row>
        <row r="21">
          <cell r="B21" t="str">
            <v>Nakkapalli</v>
          </cell>
          <cell r="H21">
            <v>0</v>
          </cell>
          <cell r="I21">
            <v>0</v>
          </cell>
          <cell r="J21" t="e">
            <v>#DIV/0!</v>
          </cell>
          <cell r="K21">
            <v>0</v>
          </cell>
          <cell r="L21">
            <v>0</v>
          </cell>
        </row>
        <row r="22">
          <cell r="B22" t="str">
            <v>Narsipatnam Rural</v>
          </cell>
          <cell r="H22">
            <v>0</v>
          </cell>
          <cell r="I22">
            <v>0</v>
          </cell>
          <cell r="J22" t="e">
            <v>#DIV/0!</v>
          </cell>
          <cell r="K22">
            <v>0</v>
          </cell>
          <cell r="L22">
            <v>0</v>
          </cell>
        </row>
        <row r="23">
          <cell r="B23" t="str">
            <v>Narsipatnam Town</v>
          </cell>
          <cell r="H23">
            <v>0</v>
          </cell>
          <cell r="I23">
            <v>0</v>
          </cell>
          <cell r="J23" t="e">
            <v>#DIV/0!</v>
          </cell>
          <cell r="K23">
            <v>0</v>
          </cell>
          <cell r="L23">
            <v>0</v>
          </cell>
        </row>
        <row r="24">
          <cell r="B24" t="str">
            <v>Nathavaram</v>
          </cell>
          <cell r="H24">
            <v>0</v>
          </cell>
          <cell r="I24">
            <v>0</v>
          </cell>
          <cell r="J24" t="e">
            <v>#DIV/0!</v>
          </cell>
          <cell r="K24">
            <v>0</v>
          </cell>
          <cell r="L24">
            <v>0</v>
          </cell>
        </row>
        <row r="25">
          <cell r="B25" t="str">
            <v>Parawada</v>
          </cell>
          <cell r="H25">
            <v>0</v>
          </cell>
          <cell r="I25">
            <v>0</v>
          </cell>
          <cell r="J25" t="e">
            <v>#DIV/0!</v>
          </cell>
          <cell r="K25">
            <v>0</v>
          </cell>
          <cell r="L25">
            <v>0</v>
          </cell>
        </row>
        <row r="26">
          <cell r="B26" t="str">
            <v>Payakaraopeta</v>
          </cell>
          <cell r="H26">
            <v>0</v>
          </cell>
          <cell r="I26">
            <v>0</v>
          </cell>
          <cell r="J26" t="e">
            <v>#DIV/0!</v>
          </cell>
          <cell r="K26">
            <v>0</v>
          </cell>
          <cell r="L26">
            <v>0</v>
          </cell>
        </row>
        <row r="27">
          <cell r="B27" t="str">
            <v>Rambilli</v>
          </cell>
          <cell r="H27">
            <v>0</v>
          </cell>
          <cell r="I27">
            <v>0</v>
          </cell>
          <cell r="J27" t="e">
            <v>#DIV/0!</v>
          </cell>
          <cell r="K27">
            <v>0</v>
          </cell>
          <cell r="L27">
            <v>0</v>
          </cell>
        </row>
        <row r="28">
          <cell r="B28" t="str">
            <v>Ravikamatham</v>
          </cell>
          <cell r="H28">
            <v>0</v>
          </cell>
          <cell r="I28">
            <v>0</v>
          </cell>
          <cell r="J28" t="e">
            <v>#DIV/0!</v>
          </cell>
          <cell r="K28">
            <v>0</v>
          </cell>
          <cell r="L28">
            <v>0</v>
          </cell>
        </row>
        <row r="29">
          <cell r="B29" t="str">
            <v>Rolugunta</v>
          </cell>
          <cell r="H29">
            <v>0</v>
          </cell>
          <cell r="I29">
            <v>0</v>
          </cell>
          <cell r="J29" t="e">
            <v>#DIV/0!</v>
          </cell>
          <cell r="K29">
            <v>0</v>
          </cell>
          <cell r="L29">
            <v>0</v>
          </cell>
        </row>
        <row r="30">
          <cell r="B30" t="str">
            <v>S.Rayavaram</v>
          </cell>
          <cell r="H30">
            <v>0</v>
          </cell>
          <cell r="I30">
            <v>0</v>
          </cell>
          <cell r="J30" t="e">
            <v>#DIV/0!</v>
          </cell>
          <cell r="K30">
            <v>0</v>
          </cell>
          <cell r="L30">
            <v>0</v>
          </cell>
        </row>
        <row r="31">
          <cell r="B31" t="str">
            <v>Sabbavaram</v>
          </cell>
          <cell r="H31">
            <v>0</v>
          </cell>
          <cell r="I31">
            <v>0</v>
          </cell>
          <cell r="J31" t="e">
            <v>#DIV/0!</v>
          </cell>
          <cell r="K31">
            <v>0</v>
          </cell>
          <cell r="L31">
            <v>0</v>
          </cell>
        </row>
        <row r="32">
          <cell r="B32" t="str">
            <v>V.Madugula</v>
          </cell>
          <cell r="H32">
            <v>0</v>
          </cell>
          <cell r="I32">
            <v>0</v>
          </cell>
          <cell r="J32" t="e">
            <v>#DIV/0!</v>
          </cell>
          <cell r="K32">
            <v>0</v>
          </cell>
          <cell r="L32">
            <v>0</v>
          </cell>
        </row>
        <row r="33">
          <cell r="B33" t="str">
            <v>Yelamanchili Rural</v>
          </cell>
          <cell r="H33">
            <v>0</v>
          </cell>
          <cell r="I33">
            <v>0</v>
          </cell>
          <cell r="J33" t="e">
            <v>#DIV/0!</v>
          </cell>
          <cell r="K33">
            <v>0</v>
          </cell>
          <cell r="L33">
            <v>0</v>
          </cell>
        </row>
        <row r="34">
          <cell r="B34" t="str">
            <v>Yelamanchili Town</v>
          </cell>
          <cell r="H34">
            <v>0</v>
          </cell>
          <cell r="I34">
            <v>0</v>
          </cell>
          <cell r="J34" t="e">
            <v>#DIV/0!</v>
          </cell>
          <cell r="K34">
            <v>0</v>
          </cell>
          <cell r="L34">
            <v>0</v>
          </cell>
        </row>
        <row r="35">
          <cell r="B35" t="str">
            <v>Yelamanchili Traffic</v>
          </cell>
          <cell r="H35">
            <v>0</v>
          </cell>
          <cell r="I35">
            <v>0</v>
          </cell>
          <cell r="J35" t="e">
            <v>#DIV/0!</v>
          </cell>
          <cell r="K35">
            <v>0</v>
          </cell>
          <cell r="L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 t="e">
            <v>#DIV/0!</v>
          </cell>
          <cell r="K36">
            <v>0</v>
          </cell>
          <cell r="L36">
            <v>0</v>
          </cell>
        </row>
      </sheetData>
      <sheetData sheetId="11">
        <row r="3">
          <cell r="B3" t="str">
            <v>POLICE STATION</v>
          </cell>
          <cell r="C3" t="str">
            <v>Total
 Cases Charged</v>
          </cell>
          <cell r="D3" t="str">
            <v>No. of cases
 eProc created</v>
          </cell>
          <cell r="E3" t="str">
            <v>Raw Value
if UI = 0 
( 100 points)</v>
          </cell>
          <cell r="F3" t="str">
            <v>Marks</v>
          </cell>
        </row>
        <row r="4">
          <cell r="B4" t="str">
            <v>A.Koduru</v>
          </cell>
          <cell r="C4">
            <v>0</v>
          </cell>
          <cell r="D4">
            <v>0</v>
          </cell>
          <cell r="E4">
            <v>100</v>
          </cell>
          <cell r="F4">
            <v>5</v>
          </cell>
        </row>
        <row r="5">
          <cell r="B5" t="str">
            <v>Anakapalli Rural</v>
          </cell>
          <cell r="C5">
            <v>1</v>
          </cell>
          <cell r="D5">
            <v>1</v>
          </cell>
          <cell r="E5">
            <v>100</v>
          </cell>
          <cell r="F5">
            <v>5</v>
          </cell>
        </row>
        <row r="6">
          <cell r="B6" t="str">
            <v>Anakapalli Town</v>
          </cell>
          <cell r="C6">
            <v>1</v>
          </cell>
          <cell r="D6">
            <v>1</v>
          </cell>
          <cell r="E6">
            <v>100</v>
          </cell>
          <cell r="F6">
            <v>5</v>
          </cell>
        </row>
        <row r="7">
          <cell r="B7" t="str">
            <v>Anakapalli Traffic</v>
          </cell>
          <cell r="C7">
            <v>1</v>
          </cell>
          <cell r="D7">
            <v>1</v>
          </cell>
          <cell r="E7">
            <v>100</v>
          </cell>
          <cell r="F7">
            <v>5</v>
          </cell>
        </row>
        <row r="8">
          <cell r="B8" t="str">
            <v>Atchutapuram</v>
          </cell>
          <cell r="C8">
            <v>2</v>
          </cell>
          <cell r="D8">
            <v>1</v>
          </cell>
          <cell r="E8">
            <v>50</v>
          </cell>
          <cell r="F8">
            <v>2.5</v>
          </cell>
        </row>
        <row r="9">
          <cell r="B9" t="str">
            <v>Butchiyyapeta</v>
          </cell>
          <cell r="C9">
            <v>3</v>
          </cell>
          <cell r="D9">
            <v>1</v>
          </cell>
          <cell r="E9">
            <v>33.333333333333336</v>
          </cell>
          <cell r="F9">
            <v>1.666666666666667</v>
          </cell>
        </row>
        <row r="10">
          <cell r="B10" t="str">
            <v>Cheedikada</v>
          </cell>
          <cell r="C10">
            <v>1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Chodavaram</v>
          </cell>
          <cell r="C11">
            <v>2</v>
          </cell>
          <cell r="D11">
            <v>2</v>
          </cell>
          <cell r="E11">
            <v>100</v>
          </cell>
          <cell r="F11">
            <v>5</v>
          </cell>
        </row>
        <row r="12">
          <cell r="B12" t="str">
            <v>Devarapalli</v>
          </cell>
          <cell r="C12">
            <v>0</v>
          </cell>
          <cell r="D12">
            <v>0</v>
          </cell>
          <cell r="E12">
            <v>100</v>
          </cell>
          <cell r="F12">
            <v>5</v>
          </cell>
        </row>
        <row r="13">
          <cell r="B13" t="str">
            <v>Golugonda</v>
          </cell>
          <cell r="C13">
            <v>1</v>
          </cell>
          <cell r="D13">
            <v>1</v>
          </cell>
          <cell r="E13">
            <v>100</v>
          </cell>
          <cell r="F13">
            <v>5</v>
          </cell>
        </row>
        <row r="14">
          <cell r="B14" t="str">
            <v>K.D.Peta</v>
          </cell>
          <cell r="C14">
            <v>3</v>
          </cell>
          <cell r="D14">
            <v>1</v>
          </cell>
          <cell r="E14">
            <v>33.333333333333336</v>
          </cell>
          <cell r="F14">
            <v>1.666666666666667</v>
          </cell>
        </row>
        <row r="15">
          <cell r="B15" t="str">
            <v>K.Kotapadu</v>
          </cell>
          <cell r="C15">
            <v>1</v>
          </cell>
          <cell r="D15">
            <v>1</v>
          </cell>
          <cell r="E15">
            <v>100</v>
          </cell>
          <cell r="F15">
            <v>5</v>
          </cell>
        </row>
        <row r="16">
          <cell r="B16" t="str">
            <v>Kasimkota</v>
          </cell>
          <cell r="C16">
            <v>3</v>
          </cell>
          <cell r="D16">
            <v>2</v>
          </cell>
          <cell r="E16">
            <v>66.666666666666671</v>
          </cell>
          <cell r="F16">
            <v>3.3333333333333339</v>
          </cell>
        </row>
        <row r="17">
          <cell r="B17" t="str">
            <v>Kotavurtla</v>
          </cell>
          <cell r="C17">
            <v>0</v>
          </cell>
          <cell r="D17">
            <v>0</v>
          </cell>
          <cell r="E17">
            <v>100</v>
          </cell>
          <cell r="F17">
            <v>5</v>
          </cell>
        </row>
        <row r="18">
          <cell r="B18" t="str">
            <v>Kothakota</v>
          </cell>
          <cell r="C18">
            <v>0</v>
          </cell>
          <cell r="D18">
            <v>0</v>
          </cell>
          <cell r="E18">
            <v>100</v>
          </cell>
          <cell r="F18">
            <v>5</v>
          </cell>
        </row>
        <row r="19">
          <cell r="B19" t="str">
            <v>Mahila UPS, Anakapalli</v>
          </cell>
          <cell r="C19">
            <v>1</v>
          </cell>
          <cell r="D19">
            <v>1</v>
          </cell>
          <cell r="E19">
            <v>100</v>
          </cell>
          <cell r="F19">
            <v>5</v>
          </cell>
        </row>
        <row r="20">
          <cell r="B20" t="str">
            <v>Makavarapalem</v>
          </cell>
          <cell r="C20">
            <v>1</v>
          </cell>
          <cell r="D20">
            <v>1</v>
          </cell>
          <cell r="E20">
            <v>100</v>
          </cell>
          <cell r="F20">
            <v>5</v>
          </cell>
        </row>
        <row r="21">
          <cell r="B21" t="str">
            <v>Munagapaka</v>
          </cell>
          <cell r="C21">
            <v>1</v>
          </cell>
          <cell r="D21">
            <v>1</v>
          </cell>
          <cell r="E21">
            <v>100</v>
          </cell>
          <cell r="F21">
            <v>5</v>
          </cell>
        </row>
        <row r="22">
          <cell r="B22" t="str">
            <v>Nakkapalli</v>
          </cell>
          <cell r="C22">
            <v>2</v>
          </cell>
          <cell r="D22">
            <v>2</v>
          </cell>
          <cell r="E22">
            <v>100</v>
          </cell>
          <cell r="F22">
            <v>5</v>
          </cell>
        </row>
        <row r="23">
          <cell r="B23" t="str">
            <v>Narsipatnam Rural</v>
          </cell>
          <cell r="C23">
            <v>1</v>
          </cell>
          <cell r="D23">
            <v>0</v>
          </cell>
          <cell r="E23">
            <v>0</v>
          </cell>
          <cell r="F23">
            <v>0</v>
          </cell>
        </row>
        <row r="24">
          <cell r="B24" t="str">
            <v>Narsipatnam Town</v>
          </cell>
          <cell r="C24">
            <v>3</v>
          </cell>
          <cell r="D24">
            <v>2</v>
          </cell>
          <cell r="E24">
            <v>66.666666666666671</v>
          </cell>
          <cell r="F24">
            <v>3.3333333333333339</v>
          </cell>
        </row>
        <row r="25">
          <cell r="B25" t="str">
            <v>Nathavaram</v>
          </cell>
          <cell r="C25">
            <v>2</v>
          </cell>
          <cell r="D25">
            <v>2</v>
          </cell>
          <cell r="E25">
            <v>100</v>
          </cell>
          <cell r="F25">
            <v>5</v>
          </cell>
        </row>
        <row r="26">
          <cell r="B26" t="str">
            <v>Parawada</v>
          </cell>
          <cell r="C26">
            <v>4</v>
          </cell>
          <cell r="D26">
            <v>2</v>
          </cell>
          <cell r="E26">
            <v>50</v>
          </cell>
          <cell r="F26">
            <v>2.5</v>
          </cell>
        </row>
        <row r="27">
          <cell r="B27" t="str">
            <v>Payakaraopeta</v>
          </cell>
          <cell r="C27">
            <v>1</v>
          </cell>
          <cell r="D27">
            <v>1</v>
          </cell>
          <cell r="E27">
            <v>100</v>
          </cell>
          <cell r="F27">
            <v>5</v>
          </cell>
        </row>
        <row r="28">
          <cell r="B28" t="str">
            <v>Rambilli</v>
          </cell>
          <cell r="C28">
            <v>2</v>
          </cell>
          <cell r="D28">
            <v>2</v>
          </cell>
          <cell r="E28">
            <v>100</v>
          </cell>
          <cell r="F28">
            <v>5</v>
          </cell>
        </row>
        <row r="29">
          <cell r="B29" t="str">
            <v>Ravikamatham</v>
          </cell>
          <cell r="C29">
            <v>1</v>
          </cell>
          <cell r="D29">
            <v>0</v>
          </cell>
          <cell r="E29">
            <v>0</v>
          </cell>
          <cell r="F29">
            <v>0</v>
          </cell>
        </row>
        <row r="30">
          <cell r="B30" t="str">
            <v>Rolugunta</v>
          </cell>
          <cell r="C30">
            <v>2</v>
          </cell>
          <cell r="D30">
            <v>2</v>
          </cell>
          <cell r="E30">
            <v>100</v>
          </cell>
          <cell r="F30">
            <v>5</v>
          </cell>
        </row>
        <row r="31">
          <cell r="B31" t="str">
            <v>S.Rayavaram</v>
          </cell>
          <cell r="C31">
            <v>4</v>
          </cell>
          <cell r="D31">
            <v>1</v>
          </cell>
          <cell r="E31">
            <v>25</v>
          </cell>
          <cell r="F31">
            <v>1.25</v>
          </cell>
        </row>
        <row r="32">
          <cell r="B32" t="str">
            <v>Sabbavaram</v>
          </cell>
          <cell r="C32">
            <v>4</v>
          </cell>
          <cell r="D32">
            <v>0</v>
          </cell>
          <cell r="E32">
            <v>0</v>
          </cell>
          <cell r="F32">
            <v>0</v>
          </cell>
        </row>
        <row r="33">
          <cell r="B33" t="str">
            <v>V.Madugula</v>
          </cell>
          <cell r="C33">
            <v>1</v>
          </cell>
          <cell r="D33">
            <v>1</v>
          </cell>
          <cell r="E33">
            <v>100</v>
          </cell>
          <cell r="F33">
            <v>5</v>
          </cell>
        </row>
        <row r="34">
          <cell r="B34" t="str">
            <v>Yelamanchili Rural</v>
          </cell>
          <cell r="C34">
            <v>0</v>
          </cell>
          <cell r="D34">
            <v>0</v>
          </cell>
          <cell r="E34">
            <v>100</v>
          </cell>
          <cell r="F34">
            <v>5</v>
          </cell>
        </row>
        <row r="35">
          <cell r="B35" t="str">
            <v>Yelamanchili Town</v>
          </cell>
          <cell r="C35">
            <v>1</v>
          </cell>
          <cell r="D35">
            <v>1</v>
          </cell>
          <cell r="E35">
            <v>100</v>
          </cell>
          <cell r="F35">
            <v>5</v>
          </cell>
        </row>
        <row r="36">
          <cell r="B36" t="str">
            <v>Yelamanchili Traffic</v>
          </cell>
          <cell r="C36">
            <v>0</v>
          </cell>
          <cell r="D36">
            <v>0</v>
          </cell>
          <cell r="E36">
            <v>100</v>
          </cell>
          <cell r="F36">
            <v>5</v>
          </cell>
        </row>
      </sheetData>
      <sheetData sheetId="12">
        <row r="2">
          <cell r="B2" t="str">
            <v>POLICE STATION</v>
          </cell>
          <cell r="C2" t="str">
            <v>Total FIRs Registered</v>
          </cell>
          <cell r="D2" t="str">
            <v>FIRs Consumed in Court</v>
          </cell>
          <cell r="E2" t="str">
            <v>FIR Raw Value</v>
          </cell>
          <cell r="F2" t="str">
            <v>Marks
(2.5)</v>
          </cell>
          <cell r="G2" t="str">
            <v>Charge sheets Filed</v>
          </cell>
          <cell r="H2" t="str">
            <v>Chargesheets Consumed in Court</v>
          </cell>
          <cell r="I2" t="str">
            <v>Charge Sheet Raw Value</v>
          </cell>
          <cell r="J2" t="str">
            <v>Marks
(2.5)</v>
          </cell>
          <cell r="K2" t="str">
            <v>TOTAL MARKS
(5)</v>
          </cell>
          <cell r="L2" t="str">
            <v>Final Raw Value</v>
          </cell>
        </row>
        <row r="3">
          <cell r="B3" t="str">
            <v>A.Koduru</v>
          </cell>
          <cell r="C3">
            <v>107</v>
          </cell>
          <cell r="D3">
            <v>95</v>
          </cell>
          <cell r="E3">
            <v>88.785046728971963</v>
          </cell>
          <cell r="F3">
            <v>2.2196261682242993</v>
          </cell>
          <cell r="G3">
            <v>94</v>
          </cell>
          <cell r="H3">
            <v>62</v>
          </cell>
          <cell r="I3">
            <v>65.957446808510639</v>
          </cell>
          <cell r="J3">
            <v>1.6489361702127661</v>
          </cell>
          <cell r="K3">
            <v>3.8685623384370653</v>
          </cell>
          <cell r="L3">
            <v>77.371246768741301</v>
          </cell>
        </row>
        <row r="4">
          <cell r="B4" t="str">
            <v>Anakapalli Rural</v>
          </cell>
          <cell r="C4">
            <v>316</v>
          </cell>
          <cell r="D4">
            <v>158</v>
          </cell>
          <cell r="E4">
            <v>50</v>
          </cell>
          <cell r="F4">
            <v>1.25</v>
          </cell>
          <cell r="G4">
            <v>221</v>
          </cell>
          <cell r="H4">
            <v>209</v>
          </cell>
          <cell r="I4">
            <v>94.57013574660634</v>
          </cell>
          <cell r="J4">
            <v>2.3642533936651584</v>
          </cell>
          <cell r="K4">
            <v>3.6142533936651584</v>
          </cell>
          <cell r="L4">
            <v>72.285067873303177</v>
          </cell>
        </row>
        <row r="5">
          <cell r="B5" t="str">
            <v>Anakapalli Town</v>
          </cell>
          <cell r="C5">
            <v>307</v>
          </cell>
          <cell r="D5">
            <v>151</v>
          </cell>
          <cell r="E5">
            <v>49.185667752442995</v>
          </cell>
          <cell r="F5">
            <v>1.229641693811075</v>
          </cell>
          <cell r="G5">
            <v>199</v>
          </cell>
          <cell r="H5">
            <v>176</v>
          </cell>
          <cell r="I5">
            <v>88.442211055276388</v>
          </cell>
          <cell r="J5">
            <v>2.2110552763819098</v>
          </cell>
          <cell r="K5">
            <v>3.4406969701929846</v>
          </cell>
          <cell r="L5">
            <v>68.813939403859692</v>
          </cell>
        </row>
        <row r="6">
          <cell r="B6" t="str">
            <v>Anakapalli Traffic</v>
          </cell>
          <cell r="C6">
            <v>232</v>
          </cell>
          <cell r="D6">
            <v>137</v>
          </cell>
          <cell r="E6">
            <v>59.051724137931032</v>
          </cell>
          <cell r="F6">
            <v>1.4762931034482758</v>
          </cell>
          <cell r="G6">
            <v>201</v>
          </cell>
          <cell r="H6">
            <v>185</v>
          </cell>
          <cell r="I6">
            <v>92.039800995024876</v>
          </cell>
          <cell r="J6">
            <v>2.3009950248756219</v>
          </cell>
          <cell r="K6">
            <v>3.7772881283238977</v>
          </cell>
          <cell r="L6">
            <v>75.545762566477947</v>
          </cell>
        </row>
        <row r="7">
          <cell r="B7" t="str">
            <v>Atchutapuram</v>
          </cell>
          <cell r="C7">
            <v>329</v>
          </cell>
          <cell r="D7">
            <v>266</v>
          </cell>
          <cell r="E7">
            <v>80.851063829787236</v>
          </cell>
          <cell r="F7">
            <v>2.021276595744681</v>
          </cell>
          <cell r="G7">
            <v>245</v>
          </cell>
          <cell r="H7">
            <v>201</v>
          </cell>
          <cell r="I7">
            <v>82.040816326530617</v>
          </cell>
          <cell r="J7">
            <v>2.0510204081632657</v>
          </cell>
          <cell r="K7">
            <v>4.0722970039079467</v>
          </cell>
          <cell r="L7">
            <v>81.445940078158927</v>
          </cell>
        </row>
        <row r="8">
          <cell r="B8" t="str">
            <v>Butchiyyapeta</v>
          </cell>
          <cell r="C8">
            <v>164</v>
          </cell>
          <cell r="D8">
            <v>130</v>
          </cell>
          <cell r="E8">
            <v>79.268292682926827</v>
          </cell>
          <cell r="F8">
            <v>1.9817073170731707</v>
          </cell>
          <cell r="G8">
            <v>134</v>
          </cell>
          <cell r="H8">
            <v>119</v>
          </cell>
          <cell r="I8">
            <v>88.805970149253724</v>
          </cell>
          <cell r="J8">
            <v>2.2201492537313432</v>
          </cell>
          <cell r="K8">
            <v>4.2018565708045141</v>
          </cell>
          <cell r="L8">
            <v>84.037131416090276</v>
          </cell>
        </row>
        <row r="9">
          <cell r="B9" t="str">
            <v>Cheedikada</v>
          </cell>
          <cell r="C9">
            <v>102</v>
          </cell>
          <cell r="D9">
            <v>81</v>
          </cell>
          <cell r="E9">
            <v>79.411764705882348</v>
          </cell>
          <cell r="F9">
            <v>1.9852941176470589</v>
          </cell>
          <cell r="G9">
            <v>79</v>
          </cell>
          <cell r="H9">
            <v>68</v>
          </cell>
          <cell r="I9">
            <v>86.075949367088612</v>
          </cell>
          <cell r="J9">
            <v>2.1518987341772156</v>
          </cell>
          <cell r="K9">
            <v>4.137192851824274</v>
          </cell>
          <cell r="L9">
            <v>82.74385703648548</v>
          </cell>
        </row>
        <row r="10">
          <cell r="B10" t="str">
            <v>Chodavaram</v>
          </cell>
          <cell r="C10">
            <v>375</v>
          </cell>
          <cell r="D10">
            <v>288</v>
          </cell>
          <cell r="E10">
            <v>76.8</v>
          </cell>
          <cell r="F10">
            <v>1.92</v>
          </cell>
          <cell r="G10">
            <v>248</v>
          </cell>
          <cell r="H10">
            <v>221</v>
          </cell>
          <cell r="I10">
            <v>89.112903225806448</v>
          </cell>
          <cell r="J10">
            <v>2.2278225806451615</v>
          </cell>
          <cell r="K10">
            <v>4.1478225806451618</v>
          </cell>
          <cell r="L10">
            <v>82.956451612903223</v>
          </cell>
        </row>
        <row r="11">
          <cell r="B11" t="str">
            <v>Devarapalli</v>
          </cell>
          <cell r="C11">
            <v>178</v>
          </cell>
          <cell r="D11">
            <v>133</v>
          </cell>
          <cell r="E11">
            <v>74.719101123595507</v>
          </cell>
          <cell r="F11">
            <v>1.8679775280898878</v>
          </cell>
          <cell r="G11">
            <v>148</v>
          </cell>
          <cell r="H11">
            <v>119</v>
          </cell>
          <cell r="I11">
            <v>80.405405405405403</v>
          </cell>
          <cell r="J11">
            <v>2.0101351351351351</v>
          </cell>
          <cell r="K11">
            <v>3.8781126632250231</v>
          </cell>
          <cell r="L11">
            <v>77.562253264500455</v>
          </cell>
        </row>
        <row r="12">
          <cell r="B12" t="str">
            <v>Golugonda</v>
          </cell>
          <cell r="C12">
            <v>135</v>
          </cell>
          <cell r="D12">
            <v>107</v>
          </cell>
          <cell r="E12">
            <v>79.259259259259252</v>
          </cell>
          <cell r="F12">
            <v>1.9814814814814814</v>
          </cell>
          <cell r="G12">
            <v>113</v>
          </cell>
          <cell r="H12">
            <v>85</v>
          </cell>
          <cell r="I12">
            <v>75.221238938053091</v>
          </cell>
          <cell r="J12">
            <v>1.8805309734513274</v>
          </cell>
          <cell r="K12">
            <v>3.8620124549328088</v>
          </cell>
          <cell r="L12">
            <v>77.240249098656165</v>
          </cell>
        </row>
        <row r="13">
          <cell r="B13" t="str">
            <v>K.D.Peta</v>
          </cell>
          <cell r="C13">
            <v>70</v>
          </cell>
          <cell r="D13">
            <v>58</v>
          </cell>
          <cell r="E13">
            <v>82.857142857142861</v>
          </cell>
          <cell r="F13">
            <v>2.0714285714285716</v>
          </cell>
          <cell r="G13">
            <v>59</v>
          </cell>
          <cell r="H13">
            <v>48</v>
          </cell>
          <cell r="I13">
            <v>81.355932203389827</v>
          </cell>
          <cell r="J13">
            <v>2.0338983050847457</v>
          </cell>
          <cell r="K13">
            <v>4.1053268765133168</v>
          </cell>
          <cell r="L13">
            <v>82.106537530266337</v>
          </cell>
        </row>
        <row r="14">
          <cell r="B14" t="str">
            <v>K.Kotapadu</v>
          </cell>
          <cell r="C14">
            <v>115</v>
          </cell>
          <cell r="D14">
            <v>92</v>
          </cell>
          <cell r="E14">
            <v>80</v>
          </cell>
          <cell r="F14">
            <v>2</v>
          </cell>
          <cell r="G14">
            <v>93</v>
          </cell>
          <cell r="H14">
            <v>71</v>
          </cell>
          <cell r="I14">
            <v>76.344086021505376</v>
          </cell>
          <cell r="J14">
            <v>1.9086021505376345</v>
          </cell>
          <cell r="K14">
            <v>3.9086021505376345</v>
          </cell>
          <cell r="L14">
            <v>78.172043010752688</v>
          </cell>
        </row>
        <row r="15">
          <cell r="B15" t="str">
            <v>Kasimkota</v>
          </cell>
          <cell r="C15">
            <v>386</v>
          </cell>
          <cell r="D15">
            <v>223</v>
          </cell>
          <cell r="E15">
            <v>57.7720207253886</v>
          </cell>
          <cell r="F15">
            <v>1.4443005181347151</v>
          </cell>
          <cell r="G15">
            <v>307</v>
          </cell>
          <cell r="H15">
            <v>248</v>
          </cell>
          <cell r="I15">
            <v>80.781758957654716</v>
          </cell>
          <cell r="J15">
            <v>2.0195439739413681</v>
          </cell>
          <cell r="K15">
            <v>3.4638444920760829</v>
          </cell>
          <cell r="L15">
            <v>69.276889841521665</v>
          </cell>
        </row>
        <row r="16">
          <cell r="B16" t="str">
            <v>Kotavurtla</v>
          </cell>
          <cell r="C16">
            <v>145</v>
          </cell>
          <cell r="D16">
            <v>95</v>
          </cell>
          <cell r="E16">
            <v>65.517241379310349</v>
          </cell>
          <cell r="F16">
            <v>1.6379310344827589</v>
          </cell>
          <cell r="G16">
            <v>99</v>
          </cell>
          <cell r="H16">
            <v>83</v>
          </cell>
          <cell r="I16">
            <v>83.838383838383834</v>
          </cell>
          <cell r="J16">
            <v>2.095959595959596</v>
          </cell>
          <cell r="K16">
            <v>3.7338906304423549</v>
          </cell>
          <cell r="L16">
            <v>74.677812608847091</v>
          </cell>
        </row>
        <row r="17">
          <cell r="B17" t="str">
            <v>Kothakota</v>
          </cell>
          <cell r="C17">
            <v>73</v>
          </cell>
          <cell r="D17">
            <v>57</v>
          </cell>
          <cell r="E17">
            <v>78.082191780821915</v>
          </cell>
          <cell r="F17">
            <v>1.952054794520548</v>
          </cell>
          <cell r="G17">
            <v>58</v>
          </cell>
          <cell r="H17">
            <v>44</v>
          </cell>
          <cell r="I17">
            <v>75.862068965517238</v>
          </cell>
          <cell r="J17">
            <v>1.896551724137931</v>
          </cell>
          <cell r="K17">
            <v>3.848606518658479</v>
          </cell>
          <cell r="L17">
            <v>76.972130373169577</v>
          </cell>
        </row>
        <row r="18">
          <cell r="B18" t="str">
            <v>Mahila UPS, Anakapalli</v>
          </cell>
          <cell r="C18">
            <v>139</v>
          </cell>
          <cell r="D18">
            <v>69</v>
          </cell>
          <cell r="E18">
            <v>49.640287769784173</v>
          </cell>
          <cell r="F18">
            <v>1.2410071942446044</v>
          </cell>
          <cell r="G18">
            <v>124</v>
          </cell>
          <cell r="H18">
            <v>124</v>
          </cell>
          <cell r="I18">
            <v>100</v>
          </cell>
          <cell r="J18">
            <v>2.5</v>
          </cell>
          <cell r="K18">
            <v>3.7410071942446042</v>
          </cell>
          <cell r="L18">
            <v>74.82014388489209</v>
          </cell>
        </row>
        <row r="19">
          <cell r="B19" t="str">
            <v>Makavarapalem</v>
          </cell>
          <cell r="C19">
            <v>185</v>
          </cell>
          <cell r="D19">
            <v>143</v>
          </cell>
          <cell r="E19">
            <v>77.297297297297291</v>
          </cell>
          <cell r="F19">
            <v>1.9324324324324325</v>
          </cell>
          <cell r="G19">
            <v>103</v>
          </cell>
          <cell r="H19">
            <v>96</v>
          </cell>
          <cell r="I19">
            <v>93.203883495145632</v>
          </cell>
          <cell r="J19">
            <v>2.3300970873786411</v>
          </cell>
          <cell r="K19">
            <v>4.2625295198110731</v>
          </cell>
          <cell r="L19">
            <v>85.250590396221469</v>
          </cell>
        </row>
        <row r="20">
          <cell r="B20" t="str">
            <v>Munagapaka</v>
          </cell>
          <cell r="C20">
            <v>221</v>
          </cell>
          <cell r="D20">
            <v>103</v>
          </cell>
          <cell r="E20">
            <v>46.606334841628957</v>
          </cell>
          <cell r="F20">
            <v>1.1651583710407241</v>
          </cell>
          <cell r="G20">
            <v>170</v>
          </cell>
          <cell r="H20">
            <v>155</v>
          </cell>
          <cell r="I20">
            <v>91.17647058823529</v>
          </cell>
          <cell r="J20">
            <v>2.2794117647058822</v>
          </cell>
          <cell r="K20">
            <v>3.4445701357466065</v>
          </cell>
          <cell r="L20">
            <v>68.891402714932127</v>
          </cell>
        </row>
        <row r="21">
          <cell r="B21" t="str">
            <v>Nakkapalli</v>
          </cell>
          <cell r="C21">
            <v>317</v>
          </cell>
          <cell r="D21">
            <v>252</v>
          </cell>
          <cell r="E21">
            <v>79.495268138801265</v>
          </cell>
          <cell r="F21">
            <v>1.9873817034700316</v>
          </cell>
          <cell r="G21">
            <v>211</v>
          </cell>
          <cell r="H21">
            <v>186</v>
          </cell>
          <cell r="I21">
            <v>88.151658767772517</v>
          </cell>
          <cell r="J21">
            <v>2.203791469194313</v>
          </cell>
          <cell r="K21">
            <v>4.1911731726643442</v>
          </cell>
          <cell r="L21">
            <v>83.823463453286891</v>
          </cell>
        </row>
        <row r="22">
          <cell r="B22" t="str">
            <v>Narsipatnam Rural</v>
          </cell>
          <cell r="C22">
            <v>96</v>
          </cell>
          <cell r="D22">
            <v>79</v>
          </cell>
          <cell r="E22">
            <v>82.291666666666671</v>
          </cell>
          <cell r="F22">
            <v>2.057291666666667</v>
          </cell>
          <cell r="G22">
            <v>75</v>
          </cell>
          <cell r="H22">
            <v>52</v>
          </cell>
          <cell r="I22">
            <v>69.333333333333329</v>
          </cell>
          <cell r="J22">
            <v>1.7333333333333334</v>
          </cell>
          <cell r="K22">
            <v>3.7906250000000004</v>
          </cell>
          <cell r="L22">
            <v>75.8125</v>
          </cell>
        </row>
        <row r="23">
          <cell r="B23" t="str">
            <v>Narsipatnam Town</v>
          </cell>
          <cell r="C23">
            <v>315</v>
          </cell>
          <cell r="D23">
            <v>255</v>
          </cell>
          <cell r="E23">
            <v>80.952380952380949</v>
          </cell>
          <cell r="F23">
            <v>2.0238095238095237</v>
          </cell>
          <cell r="G23">
            <v>208</v>
          </cell>
          <cell r="H23">
            <v>174</v>
          </cell>
          <cell r="I23">
            <v>83.65384615384616</v>
          </cell>
          <cell r="J23">
            <v>2.0913461538461542</v>
          </cell>
          <cell r="K23">
            <v>4.1151556776556779</v>
          </cell>
          <cell r="L23">
            <v>82.303113553113548</v>
          </cell>
        </row>
        <row r="24">
          <cell r="B24" t="str">
            <v>Nathavaram</v>
          </cell>
          <cell r="C24">
            <v>136</v>
          </cell>
          <cell r="D24">
            <v>112</v>
          </cell>
          <cell r="E24">
            <v>82.352941176470594</v>
          </cell>
          <cell r="F24">
            <v>2.0588235294117649</v>
          </cell>
          <cell r="G24">
            <v>96</v>
          </cell>
          <cell r="H24">
            <v>71</v>
          </cell>
          <cell r="I24">
            <v>73.958333333333329</v>
          </cell>
          <cell r="J24">
            <v>1.8489583333333333</v>
          </cell>
          <cell r="K24">
            <v>3.9077818627450984</v>
          </cell>
          <cell r="L24">
            <v>78.155637254901961</v>
          </cell>
        </row>
        <row r="25">
          <cell r="B25" t="str">
            <v>Parawada</v>
          </cell>
          <cell r="C25">
            <v>462</v>
          </cell>
          <cell r="D25">
            <v>207</v>
          </cell>
          <cell r="E25">
            <v>44.805194805194802</v>
          </cell>
          <cell r="F25">
            <v>1.1201298701298701</v>
          </cell>
          <cell r="G25">
            <v>313</v>
          </cell>
          <cell r="H25">
            <v>286</v>
          </cell>
          <cell r="I25">
            <v>91.373801916932905</v>
          </cell>
          <cell r="J25">
            <v>2.2843450479233227</v>
          </cell>
          <cell r="K25">
            <v>3.404474918053193</v>
          </cell>
          <cell r="L25">
            <v>68.089498361063846</v>
          </cell>
        </row>
        <row r="26">
          <cell r="B26" t="str">
            <v>Payakaraopeta</v>
          </cell>
          <cell r="C26">
            <v>473</v>
          </cell>
          <cell r="D26">
            <v>335</v>
          </cell>
          <cell r="E26">
            <v>70.824524312896401</v>
          </cell>
          <cell r="F26">
            <v>1.7706131078224101</v>
          </cell>
          <cell r="G26">
            <v>353</v>
          </cell>
          <cell r="H26">
            <v>268</v>
          </cell>
          <cell r="I26">
            <v>75.920679886685548</v>
          </cell>
          <cell r="J26">
            <v>1.8980169971671388</v>
          </cell>
          <cell r="K26">
            <v>3.6686301049895489</v>
          </cell>
          <cell r="L26">
            <v>73.372602099790981</v>
          </cell>
        </row>
        <row r="27">
          <cell r="B27" t="str">
            <v>Rambilli</v>
          </cell>
          <cell r="C27">
            <v>174</v>
          </cell>
          <cell r="D27">
            <v>128</v>
          </cell>
          <cell r="E27">
            <v>73.563218390804593</v>
          </cell>
          <cell r="F27">
            <v>1.8390804597701149</v>
          </cell>
          <cell r="G27">
            <v>129</v>
          </cell>
          <cell r="H27">
            <v>127</v>
          </cell>
          <cell r="I27">
            <v>98.449612403100772</v>
          </cell>
          <cell r="J27">
            <v>2.4612403100775193</v>
          </cell>
          <cell r="K27">
            <v>4.3003207698476338</v>
          </cell>
          <cell r="L27">
            <v>86.00641539695269</v>
          </cell>
        </row>
        <row r="28">
          <cell r="B28" t="str">
            <v>Ravikamatham</v>
          </cell>
          <cell r="C28">
            <v>75</v>
          </cell>
          <cell r="D28">
            <v>64</v>
          </cell>
          <cell r="E28">
            <v>85.333333333333329</v>
          </cell>
          <cell r="F28">
            <v>2.1333333333333333</v>
          </cell>
          <cell r="G28">
            <v>54</v>
          </cell>
          <cell r="H28">
            <v>43</v>
          </cell>
          <cell r="I28">
            <v>79.629629629629633</v>
          </cell>
          <cell r="J28">
            <v>1.9907407407407409</v>
          </cell>
          <cell r="K28">
            <v>4.1240740740740742</v>
          </cell>
          <cell r="L28">
            <v>82.481481481481481</v>
          </cell>
        </row>
        <row r="29">
          <cell r="B29" t="str">
            <v>Rolugunta</v>
          </cell>
          <cell r="C29">
            <v>81</v>
          </cell>
          <cell r="D29">
            <v>64</v>
          </cell>
          <cell r="E29">
            <v>79.012345679012341</v>
          </cell>
          <cell r="F29">
            <v>1.9753086419753085</v>
          </cell>
          <cell r="G29">
            <v>54</v>
          </cell>
          <cell r="H29">
            <v>48</v>
          </cell>
          <cell r="I29">
            <v>88.888888888888886</v>
          </cell>
          <cell r="J29">
            <v>2.2222222222222223</v>
          </cell>
          <cell r="K29">
            <v>4.1975308641975309</v>
          </cell>
          <cell r="L29">
            <v>83.950617283950606</v>
          </cell>
        </row>
        <row r="30">
          <cell r="B30" t="str">
            <v>S.Rayavaram</v>
          </cell>
          <cell r="C30">
            <v>248</v>
          </cell>
          <cell r="D30">
            <v>185</v>
          </cell>
          <cell r="E30">
            <v>74.596774193548384</v>
          </cell>
          <cell r="F30">
            <v>1.8649193548387097</v>
          </cell>
          <cell r="G30">
            <v>159</v>
          </cell>
          <cell r="H30">
            <v>146</v>
          </cell>
          <cell r="I30">
            <v>91.823899371069189</v>
          </cell>
          <cell r="J30">
            <v>2.2955974842767297</v>
          </cell>
          <cell r="K30">
            <v>4.1605168391154397</v>
          </cell>
          <cell r="L30">
            <v>83.210336782308786</v>
          </cell>
        </row>
        <row r="31">
          <cell r="B31" t="str">
            <v>Sabbavaram</v>
          </cell>
          <cell r="C31">
            <v>261</v>
          </cell>
          <cell r="D31">
            <v>137</v>
          </cell>
          <cell r="E31">
            <v>52.490421455938694</v>
          </cell>
          <cell r="F31">
            <v>1.3122605363984674</v>
          </cell>
          <cell r="G31">
            <v>187</v>
          </cell>
          <cell r="H31">
            <v>158</v>
          </cell>
          <cell r="I31">
            <v>84.491978609625662</v>
          </cell>
          <cell r="J31">
            <v>2.1122994652406417</v>
          </cell>
          <cell r="K31">
            <v>3.4245600016391089</v>
          </cell>
          <cell r="L31">
            <v>68.491200032782174</v>
          </cell>
        </row>
        <row r="32">
          <cell r="B32" t="str">
            <v>V.Madugula</v>
          </cell>
          <cell r="C32">
            <v>154</v>
          </cell>
          <cell r="D32">
            <v>126</v>
          </cell>
          <cell r="E32">
            <v>81.818181818181813</v>
          </cell>
          <cell r="F32">
            <v>2.0454545454545454</v>
          </cell>
          <cell r="G32">
            <v>126</v>
          </cell>
          <cell r="H32">
            <v>93</v>
          </cell>
          <cell r="I32">
            <v>73.80952380952381</v>
          </cell>
          <cell r="J32">
            <v>1.8452380952380953</v>
          </cell>
          <cell r="K32">
            <v>3.8906926406926408</v>
          </cell>
          <cell r="L32">
            <v>77.813852813852805</v>
          </cell>
        </row>
        <row r="33">
          <cell r="B33" t="str">
            <v>Yelamanchili Rural</v>
          </cell>
          <cell r="C33">
            <v>196</v>
          </cell>
          <cell r="D33">
            <v>154</v>
          </cell>
          <cell r="E33">
            <v>78.571428571428569</v>
          </cell>
          <cell r="F33">
            <v>1.9642857142857144</v>
          </cell>
          <cell r="G33">
            <v>156</v>
          </cell>
          <cell r="H33">
            <v>134</v>
          </cell>
          <cell r="I33">
            <v>85.897435897435898</v>
          </cell>
          <cell r="J33">
            <v>2.1474358974358974</v>
          </cell>
          <cell r="K33">
            <v>4.1117216117216113</v>
          </cell>
          <cell r="L33">
            <v>82.234432234432234</v>
          </cell>
        </row>
        <row r="34">
          <cell r="B34" t="str">
            <v>Yelamanchili Town</v>
          </cell>
          <cell r="C34">
            <v>136</v>
          </cell>
          <cell r="D34">
            <v>103</v>
          </cell>
          <cell r="E34">
            <v>75.735294117647058</v>
          </cell>
          <cell r="F34">
            <v>1.8933823529411766</v>
          </cell>
          <cell r="G34">
            <v>111</v>
          </cell>
          <cell r="H34">
            <v>87</v>
          </cell>
          <cell r="I34">
            <v>78.378378378378372</v>
          </cell>
          <cell r="J34">
            <v>1.9594594594594594</v>
          </cell>
          <cell r="K34">
            <v>3.8528418124006363</v>
          </cell>
          <cell r="L34">
            <v>77.056836248012715</v>
          </cell>
        </row>
        <row r="35">
          <cell r="B35" t="str">
            <v>Yelamanchili Traffic</v>
          </cell>
          <cell r="C35">
            <v>38</v>
          </cell>
          <cell r="D35">
            <v>38</v>
          </cell>
          <cell r="E35">
            <v>100</v>
          </cell>
          <cell r="F35">
            <v>2.5</v>
          </cell>
          <cell r="G35">
            <v>38</v>
          </cell>
          <cell r="H35">
            <v>0</v>
          </cell>
          <cell r="I35">
            <v>0</v>
          </cell>
          <cell r="J35">
            <v>0</v>
          </cell>
          <cell r="K35">
            <v>2.5</v>
          </cell>
          <cell r="L35">
            <v>50</v>
          </cell>
        </row>
        <row r="36">
          <cell r="C36">
            <v>6741</v>
          </cell>
          <cell r="D36">
            <v>4625</v>
          </cell>
          <cell r="E36">
            <v>68.609998516540571</v>
          </cell>
          <cell r="F36">
            <v>1.4834594273846611</v>
          </cell>
          <cell r="G36">
            <v>4965</v>
          </cell>
          <cell r="H36">
            <v>4187</v>
          </cell>
          <cell r="I36">
            <v>84.330312185297075</v>
          </cell>
          <cell r="J36">
            <v>2.0371177745961697</v>
          </cell>
          <cell r="K36">
            <v>3.5205772019808306</v>
          </cell>
          <cell r="L36">
            <v>76.470155350918816</v>
          </cell>
        </row>
      </sheetData>
      <sheetData sheetId="13">
        <row r="2">
          <cell r="C2" t="str">
            <v>FROM   08-10-2026 TO 14-10-2026 - (5 % Marks)</v>
          </cell>
        </row>
        <row r="3">
          <cell r="B3" t="str">
            <v>PS NAME</v>
          </cell>
          <cell r="C3" t="str">
            <v>Total Disposed Files</v>
          </cell>
          <cell r="D3" t="str">
            <v xml:space="preserve">
Total Disposed files Raw Value</v>
          </cell>
          <cell r="E3" t="str">
            <v xml:space="preserve">Total Disposed Files Marks
(2.5) </v>
          </cell>
          <cell r="F3" t="str">
            <v>Average Response time (Days HH:MM:SS)</v>
          </cell>
          <cell r="G3" t="str">
            <v>Hours Convertion
to 
(HH:MM:SS)</v>
          </cell>
          <cell r="H3" t="str">
            <v xml:space="preserve">
Average Response time
Raw Value</v>
          </cell>
          <cell r="I3" t="str">
            <v>Average Response time Marks</v>
          </cell>
          <cell r="J3" t="str">
            <v>Total 
E Office 
Raw Value</v>
          </cell>
          <cell r="K3" t="str">
            <v>Total Marks</v>
          </cell>
        </row>
        <row r="4">
          <cell r="B4" t="str">
            <v>A.Koduru</v>
          </cell>
          <cell r="D4">
            <v>0</v>
          </cell>
          <cell r="E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B5" t="str">
            <v>Anakapalli Rural</v>
          </cell>
          <cell r="D5">
            <v>0</v>
          </cell>
          <cell r="E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B6" t="str">
            <v>Anakapalli Town</v>
          </cell>
          <cell r="D6">
            <v>0</v>
          </cell>
          <cell r="E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B7" t="str">
            <v>Anakapalli Traffic</v>
          </cell>
          <cell r="D7">
            <v>0</v>
          </cell>
          <cell r="E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B8" t="str">
            <v>Atchutapuram</v>
          </cell>
          <cell r="D8">
            <v>0</v>
          </cell>
          <cell r="E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Butchiyyapeta</v>
          </cell>
          <cell r="D9">
            <v>0</v>
          </cell>
          <cell r="E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Cheedikada</v>
          </cell>
          <cell r="D10">
            <v>0</v>
          </cell>
          <cell r="E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 t="str">
            <v>Chodavaram</v>
          </cell>
          <cell r="D11">
            <v>0</v>
          </cell>
          <cell r="E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 t="str">
            <v>Devarapalli</v>
          </cell>
          <cell r="D12">
            <v>0</v>
          </cell>
          <cell r="E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 t="str">
            <v>Golugonda</v>
          </cell>
          <cell r="D13">
            <v>0</v>
          </cell>
          <cell r="E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 t="str">
            <v>K.D.Peta</v>
          </cell>
          <cell r="D14">
            <v>0</v>
          </cell>
          <cell r="E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B15" t="str">
            <v>K.Kotapadu</v>
          </cell>
          <cell r="D15">
            <v>0</v>
          </cell>
          <cell r="E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B16" t="str">
            <v>Kasimkota</v>
          </cell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 t="str">
            <v>Kotavurtla</v>
          </cell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B18" t="str">
            <v>Kothakota</v>
          </cell>
          <cell r="D18">
            <v>0</v>
          </cell>
          <cell r="E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B19" t="str">
            <v>Mahila UPS, Anakapalli</v>
          </cell>
          <cell r="D19">
            <v>0</v>
          </cell>
          <cell r="E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B20" t="str">
            <v>Makavarapalem</v>
          </cell>
          <cell r="D20">
            <v>0</v>
          </cell>
          <cell r="E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B21" t="str">
            <v>Munagapaka</v>
          </cell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B22" t="str">
            <v>Nakkapalli</v>
          </cell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B23" t="str">
            <v>Narsipatnam Rural</v>
          </cell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B24" t="str">
            <v>Narsipatnam Town</v>
          </cell>
          <cell r="D24">
            <v>0</v>
          </cell>
          <cell r="E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Nathavaram</v>
          </cell>
          <cell r="D25">
            <v>0</v>
          </cell>
          <cell r="E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Parawada</v>
          </cell>
          <cell r="D26">
            <v>0</v>
          </cell>
          <cell r="E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B27" t="str">
            <v>Payakaraopeta</v>
          </cell>
          <cell r="D27">
            <v>0</v>
          </cell>
          <cell r="E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Rambilli</v>
          </cell>
          <cell r="D28">
            <v>0</v>
          </cell>
          <cell r="E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B29" t="str">
            <v>Ravikamatham</v>
          </cell>
          <cell r="D29">
            <v>0</v>
          </cell>
          <cell r="E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Rolugunta</v>
          </cell>
          <cell r="D30">
            <v>0</v>
          </cell>
          <cell r="E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B31" t="str">
            <v>S.Rayavaram</v>
          </cell>
          <cell r="D31">
            <v>0</v>
          </cell>
          <cell r="E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B32" t="str">
            <v>Sabbavaram</v>
          </cell>
          <cell r="D32">
            <v>0</v>
          </cell>
          <cell r="E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B33" t="str">
            <v>V.Madugula</v>
          </cell>
          <cell r="D33">
            <v>0</v>
          </cell>
          <cell r="E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B34" t="str">
            <v>Yelamanchili Rural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B35" t="str">
            <v>Yelamanchili Town</v>
          </cell>
          <cell r="D35">
            <v>0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 t="str">
            <v>Yelamanchili Traffic</v>
          </cell>
          <cell r="D36">
            <v>0</v>
          </cell>
          <cell r="E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</sheetData>
      <sheetData sheetId="14">
        <row r="2">
          <cell r="B2" t="str">
            <v>Unit</v>
          </cell>
          <cell r="C2" t="str">
            <v>Total Employees</v>
          </cell>
          <cell r="D2" t="str">
            <v>No.of Mobile App Downloads</v>
          </cell>
          <cell r="E2" t="str">
            <v>APP Download
Raw Value</v>
          </cell>
          <cell r="F2" t="str">
            <v>Marks
for App (2.5)</v>
          </cell>
          <cell r="G2" t="str">
            <v>Total APRs Submitted</v>
          </cell>
          <cell r="H2" t="str">
            <v>APR Raw Value</v>
          </cell>
          <cell r="I2" t="str">
            <v>Marks for APR 
(2.5)</v>
          </cell>
          <cell r="J2" t="str">
            <v>Total Marks
(5)</v>
          </cell>
          <cell r="K2" t="str">
            <v>Final Raw Value</v>
          </cell>
        </row>
        <row r="3">
          <cell r="B3" t="str">
            <v>A.Koduru</v>
          </cell>
          <cell r="C3">
            <v>11</v>
          </cell>
          <cell r="D3">
            <v>11</v>
          </cell>
          <cell r="E3">
            <v>100</v>
          </cell>
          <cell r="F3">
            <v>5</v>
          </cell>
          <cell r="G3">
            <v>11</v>
          </cell>
          <cell r="H3">
            <v>100</v>
          </cell>
          <cell r="I3">
            <v>5</v>
          </cell>
          <cell r="J3">
            <v>10</v>
          </cell>
          <cell r="K3">
            <v>100</v>
          </cell>
        </row>
        <row r="4">
          <cell r="B4" t="str">
            <v>Anakapalli Rural</v>
          </cell>
          <cell r="C4">
            <v>17</v>
          </cell>
          <cell r="D4">
            <v>17</v>
          </cell>
          <cell r="E4">
            <v>100</v>
          </cell>
          <cell r="F4">
            <v>5</v>
          </cell>
          <cell r="G4">
            <v>15</v>
          </cell>
          <cell r="H4">
            <v>88.235294117647058</v>
          </cell>
          <cell r="I4">
            <v>4.4117647058823533</v>
          </cell>
          <cell r="J4">
            <v>9.4117647058823533</v>
          </cell>
          <cell r="K4">
            <v>94.117647058823536</v>
          </cell>
        </row>
        <row r="5">
          <cell r="B5" t="str">
            <v>Anakapalli Town</v>
          </cell>
          <cell r="C5">
            <v>60</v>
          </cell>
          <cell r="D5">
            <v>59</v>
          </cell>
          <cell r="E5">
            <v>98.333333333333329</v>
          </cell>
          <cell r="F5">
            <v>4.916666666666667</v>
          </cell>
          <cell r="G5">
            <v>58</v>
          </cell>
          <cell r="H5">
            <v>96.666666666666671</v>
          </cell>
          <cell r="I5">
            <v>4.8333333333333339</v>
          </cell>
          <cell r="J5">
            <v>9.75</v>
          </cell>
          <cell r="K5">
            <v>97.5</v>
          </cell>
        </row>
        <row r="6">
          <cell r="B6" t="str">
            <v>Anakapalli Traffic</v>
          </cell>
          <cell r="C6">
            <v>12</v>
          </cell>
          <cell r="D6">
            <v>12</v>
          </cell>
          <cell r="E6">
            <v>100</v>
          </cell>
          <cell r="F6">
            <v>5</v>
          </cell>
          <cell r="G6">
            <v>10</v>
          </cell>
          <cell r="H6">
            <v>83.333333333333329</v>
          </cell>
          <cell r="I6">
            <v>4.166666666666667</v>
          </cell>
          <cell r="J6">
            <v>9.1666666666666679</v>
          </cell>
          <cell r="K6">
            <v>91.666666666666657</v>
          </cell>
        </row>
        <row r="7">
          <cell r="B7" t="str">
            <v>Atchutapuram</v>
          </cell>
          <cell r="C7">
            <v>17</v>
          </cell>
          <cell r="D7">
            <v>17</v>
          </cell>
          <cell r="E7">
            <v>100</v>
          </cell>
          <cell r="F7">
            <v>5</v>
          </cell>
          <cell r="G7">
            <v>16</v>
          </cell>
          <cell r="H7">
            <v>94.117647058823536</v>
          </cell>
          <cell r="I7">
            <v>4.7058823529411766</v>
          </cell>
          <cell r="J7">
            <v>9.7058823529411775</v>
          </cell>
          <cell r="K7">
            <v>97.058823529411768</v>
          </cell>
        </row>
        <row r="8">
          <cell r="B8" t="str">
            <v>Butchiyyapeta</v>
          </cell>
          <cell r="C8">
            <v>10</v>
          </cell>
          <cell r="D8">
            <v>10</v>
          </cell>
          <cell r="E8">
            <v>100</v>
          </cell>
          <cell r="F8">
            <v>5</v>
          </cell>
          <cell r="G8">
            <v>9</v>
          </cell>
          <cell r="H8">
            <v>90</v>
          </cell>
          <cell r="I8">
            <v>4.5</v>
          </cell>
          <cell r="J8">
            <v>9.5</v>
          </cell>
          <cell r="K8">
            <v>95</v>
          </cell>
        </row>
        <row r="9">
          <cell r="B9" t="str">
            <v>Cheedikada</v>
          </cell>
          <cell r="C9">
            <v>9</v>
          </cell>
          <cell r="D9">
            <v>9</v>
          </cell>
          <cell r="E9">
            <v>100</v>
          </cell>
          <cell r="F9">
            <v>5</v>
          </cell>
          <cell r="G9">
            <v>8</v>
          </cell>
          <cell r="H9">
            <v>88.888888888888886</v>
          </cell>
          <cell r="I9">
            <v>4.4444444444444446</v>
          </cell>
          <cell r="J9">
            <v>9.4444444444444446</v>
          </cell>
          <cell r="K9">
            <v>94.444444444444443</v>
          </cell>
        </row>
        <row r="10">
          <cell r="B10" t="str">
            <v>Chodavaram</v>
          </cell>
          <cell r="C10">
            <v>20</v>
          </cell>
          <cell r="D10">
            <v>20</v>
          </cell>
          <cell r="E10">
            <v>100</v>
          </cell>
          <cell r="F10">
            <v>5</v>
          </cell>
          <cell r="G10">
            <v>19</v>
          </cell>
          <cell r="H10">
            <v>95</v>
          </cell>
          <cell r="I10">
            <v>4.75</v>
          </cell>
          <cell r="J10">
            <v>9.75</v>
          </cell>
          <cell r="K10">
            <v>97.5</v>
          </cell>
        </row>
        <row r="11">
          <cell r="B11" t="str">
            <v>Devarapalli</v>
          </cell>
          <cell r="C11">
            <v>10</v>
          </cell>
          <cell r="D11">
            <v>10</v>
          </cell>
          <cell r="E11">
            <v>100</v>
          </cell>
          <cell r="F11">
            <v>5</v>
          </cell>
          <cell r="G11">
            <v>9</v>
          </cell>
          <cell r="H11">
            <v>90</v>
          </cell>
          <cell r="I11">
            <v>4.5</v>
          </cell>
          <cell r="J11">
            <v>9.5</v>
          </cell>
          <cell r="K11">
            <v>95</v>
          </cell>
        </row>
        <row r="12">
          <cell r="B12" t="str">
            <v>Golugonda</v>
          </cell>
          <cell r="C12">
            <v>10</v>
          </cell>
          <cell r="D12">
            <v>10</v>
          </cell>
          <cell r="E12">
            <v>100</v>
          </cell>
          <cell r="F12">
            <v>5</v>
          </cell>
          <cell r="G12">
            <v>9</v>
          </cell>
          <cell r="H12">
            <v>90</v>
          </cell>
          <cell r="I12">
            <v>4.5</v>
          </cell>
          <cell r="J12">
            <v>9.5</v>
          </cell>
          <cell r="K12">
            <v>95</v>
          </cell>
        </row>
        <row r="13">
          <cell r="B13" t="str">
            <v>K.D.Peta</v>
          </cell>
          <cell r="C13">
            <v>8</v>
          </cell>
          <cell r="D13">
            <v>8</v>
          </cell>
          <cell r="E13">
            <v>100</v>
          </cell>
          <cell r="F13">
            <v>5</v>
          </cell>
          <cell r="G13">
            <v>7</v>
          </cell>
          <cell r="H13">
            <v>87.5</v>
          </cell>
          <cell r="I13">
            <v>4.375</v>
          </cell>
          <cell r="J13">
            <v>9.375</v>
          </cell>
          <cell r="K13">
            <v>93.75</v>
          </cell>
        </row>
        <row r="14">
          <cell r="B14" t="str">
            <v>K.Kotapadu</v>
          </cell>
          <cell r="C14">
            <v>10</v>
          </cell>
          <cell r="D14">
            <v>10</v>
          </cell>
          <cell r="E14">
            <v>100</v>
          </cell>
          <cell r="F14">
            <v>5</v>
          </cell>
          <cell r="G14">
            <v>9</v>
          </cell>
          <cell r="H14">
            <v>90</v>
          </cell>
          <cell r="I14">
            <v>4.5</v>
          </cell>
          <cell r="J14">
            <v>9.5</v>
          </cell>
          <cell r="K14">
            <v>95</v>
          </cell>
        </row>
        <row r="15">
          <cell r="B15" t="str">
            <v>Kasimkota</v>
          </cell>
          <cell r="C15">
            <v>20</v>
          </cell>
          <cell r="D15">
            <v>20</v>
          </cell>
          <cell r="E15">
            <v>100</v>
          </cell>
          <cell r="F15">
            <v>5</v>
          </cell>
          <cell r="G15">
            <v>19</v>
          </cell>
          <cell r="H15">
            <v>95</v>
          </cell>
          <cell r="I15">
            <v>4.75</v>
          </cell>
          <cell r="J15">
            <v>9.75</v>
          </cell>
          <cell r="K15">
            <v>97.5</v>
          </cell>
        </row>
        <row r="16">
          <cell r="B16" t="str">
            <v>Kotavurtla</v>
          </cell>
          <cell r="C16">
            <v>10</v>
          </cell>
          <cell r="D16">
            <v>10</v>
          </cell>
          <cell r="E16">
            <v>100</v>
          </cell>
          <cell r="F16">
            <v>5</v>
          </cell>
          <cell r="G16">
            <v>9</v>
          </cell>
          <cell r="H16">
            <v>90</v>
          </cell>
          <cell r="I16">
            <v>4.5</v>
          </cell>
          <cell r="J16">
            <v>9.5</v>
          </cell>
          <cell r="K16">
            <v>95</v>
          </cell>
        </row>
        <row r="17">
          <cell r="B17" t="str">
            <v>Kothakota</v>
          </cell>
          <cell r="C17">
            <v>8</v>
          </cell>
          <cell r="D17">
            <v>8</v>
          </cell>
          <cell r="E17">
            <v>100</v>
          </cell>
          <cell r="F17">
            <v>5</v>
          </cell>
          <cell r="G17">
            <v>7</v>
          </cell>
          <cell r="H17">
            <v>87.5</v>
          </cell>
          <cell r="I17">
            <v>4.375</v>
          </cell>
          <cell r="J17">
            <v>9.375</v>
          </cell>
          <cell r="K17">
            <v>93.75</v>
          </cell>
        </row>
        <row r="18">
          <cell r="B18" t="str">
            <v>Mahila UPS, Anakapalli</v>
          </cell>
          <cell r="C18">
            <v>12</v>
          </cell>
          <cell r="D18">
            <v>11</v>
          </cell>
          <cell r="E18">
            <v>91.666666666666671</v>
          </cell>
          <cell r="F18">
            <v>4.5833333333333339</v>
          </cell>
          <cell r="G18">
            <v>11</v>
          </cell>
          <cell r="H18">
            <v>91.666666666666671</v>
          </cell>
          <cell r="I18">
            <v>4.5833333333333339</v>
          </cell>
          <cell r="J18">
            <v>9.1666666666666679</v>
          </cell>
          <cell r="K18">
            <v>91.666666666666671</v>
          </cell>
        </row>
        <row r="19">
          <cell r="B19" t="str">
            <v>Makavarapalem</v>
          </cell>
          <cell r="C19">
            <v>12</v>
          </cell>
          <cell r="D19">
            <v>12</v>
          </cell>
          <cell r="E19">
            <v>100</v>
          </cell>
          <cell r="F19">
            <v>5</v>
          </cell>
          <cell r="G19">
            <v>11</v>
          </cell>
          <cell r="H19">
            <v>91.666666666666671</v>
          </cell>
          <cell r="I19">
            <v>4.5833333333333339</v>
          </cell>
          <cell r="J19">
            <v>9.5833333333333339</v>
          </cell>
          <cell r="K19">
            <v>95.833333333333343</v>
          </cell>
        </row>
        <row r="20">
          <cell r="B20" t="str">
            <v>Munagapaka</v>
          </cell>
          <cell r="C20">
            <v>12</v>
          </cell>
          <cell r="D20">
            <v>12</v>
          </cell>
          <cell r="E20">
            <v>100</v>
          </cell>
          <cell r="F20">
            <v>5</v>
          </cell>
          <cell r="G20">
            <v>11</v>
          </cell>
          <cell r="H20">
            <v>91.666666666666671</v>
          </cell>
          <cell r="I20">
            <v>4.5833333333333339</v>
          </cell>
          <cell r="J20">
            <v>9.5833333333333339</v>
          </cell>
          <cell r="K20">
            <v>95.833333333333343</v>
          </cell>
        </row>
        <row r="21">
          <cell r="B21" t="str">
            <v>Nakkapalli</v>
          </cell>
          <cell r="C21">
            <v>20</v>
          </cell>
          <cell r="D21">
            <v>20</v>
          </cell>
          <cell r="E21">
            <v>100</v>
          </cell>
          <cell r="F21">
            <v>5</v>
          </cell>
          <cell r="G21">
            <v>19</v>
          </cell>
          <cell r="H21">
            <v>95</v>
          </cell>
          <cell r="I21">
            <v>4.75</v>
          </cell>
          <cell r="J21">
            <v>9.75</v>
          </cell>
          <cell r="K21">
            <v>97.5</v>
          </cell>
        </row>
        <row r="22">
          <cell r="B22" t="str">
            <v>Narsipatnam Rural</v>
          </cell>
          <cell r="C22">
            <v>12</v>
          </cell>
          <cell r="D22">
            <v>12</v>
          </cell>
          <cell r="E22">
            <v>100</v>
          </cell>
          <cell r="F22">
            <v>5</v>
          </cell>
          <cell r="G22">
            <v>11</v>
          </cell>
          <cell r="H22">
            <v>91.666666666666671</v>
          </cell>
          <cell r="I22">
            <v>4.5833333333333339</v>
          </cell>
          <cell r="J22">
            <v>9.5833333333333339</v>
          </cell>
          <cell r="K22">
            <v>95.833333333333343</v>
          </cell>
        </row>
        <row r="23">
          <cell r="B23" t="str">
            <v>Narsipatnam Town</v>
          </cell>
          <cell r="C23">
            <v>27</v>
          </cell>
          <cell r="D23">
            <v>27</v>
          </cell>
          <cell r="E23">
            <v>100</v>
          </cell>
          <cell r="F23">
            <v>5</v>
          </cell>
          <cell r="G23">
            <v>26</v>
          </cell>
          <cell r="H23">
            <v>96.296296296296291</v>
          </cell>
          <cell r="I23">
            <v>4.8148148148148149</v>
          </cell>
          <cell r="J23">
            <v>9.8148148148148149</v>
          </cell>
          <cell r="K23">
            <v>98.148148148148152</v>
          </cell>
        </row>
        <row r="24">
          <cell r="B24" t="str">
            <v>Nathavaram</v>
          </cell>
          <cell r="C24">
            <v>12</v>
          </cell>
          <cell r="D24">
            <v>12</v>
          </cell>
          <cell r="E24">
            <v>100</v>
          </cell>
          <cell r="F24">
            <v>5</v>
          </cell>
          <cell r="G24">
            <v>11</v>
          </cell>
          <cell r="H24">
            <v>91.666666666666671</v>
          </cell>
          <cell r="I24">
            <v>4.5833333333333339</v>
          </cell>
          <cell r="J24">
            <v>9.5833333333333339</v>
          </cell>
          <cell r="K24">
            <v>95.833333333333343</v>
          </cell>
        </row>
        <row r="25">
          <cell r="B25" t="str">
            <v>Parawada</v>
          </cell>
          <cell r="C25">
            <v>37</v>
          </cell>
          <cell r="D25">
            <v>36</v>
          </cell>
          <cell r="E25">
            <v>97.297297297297291</v>
          </cell>
          <cell r="F25">
            <v>4.8648648648648649</v>
          </cell>
          <cell r="G25">
            <v>36</v>
          </cell>
          <cell r="H25">
            <v>97.297297297297291</v>
          </cell>
          <cell r="I25">
            <v>4.8648648648648649</v>
          </cell>
          <cell r="J25">
            <v>9.7297297297297298</v>
          </cell>
          <cell r="K25">
            <v>97.297297297297291</v>
          </cell>
        </row>
        <row r="26">
          <cell r="B26" t="str">
            <v>Payakaraopeta</v>
          </cell>
          <cell r="C26">
            <v>17</v>
          </cell>
          <cell r="D26">
            <v>17</v>
          </cell>
          <cell r="E26">
            <v>100</v>
          </cell>
          <cell r="F26">
            <v>5</v>
          </cell>
          <cell r="G26">
            <v>16</v>
          </cell>
          <cell r="H26">
            <v>94.117647058823536</v>
          </cell>
          <cell r="I26">
            <v>4.7058823529411766</v>
          </cell>
          <cell r="J26">
            <v>9.7058823529411775</v>
          </cell>
          <cell r="K26">
            <v>97.058823529411768</v>
          </cell>
        </row>
        <row r="27">
          <cell r="B27" t="str">
            <v>Rambilli</v>
          </cell>
          <cell r="C27">
            <v>14</v>
          </cell>
          <cell r="D27">
            <v>14</v>
          </cell>
          <cell r="E27">
            <v>100</v>
          </cell>
          <cell r="F27">
            <v>5</v>
          </cell>
          <cell r="G27">
            <v>13</v>
          </cell>
          <cell r="H27">
            <v>92.857142857142861</v>
          </cell>
          <cell r="I27">
            <v>4.6428571428571432</v>
          </cell>
          <cell r="J27">
            <v>9.6428571428571423</v>
          </cell>
          <cell r="K27">
            <v>96.428571428571431</v>
          </cell>
        </row>
        <row r="28">
          <cell r="B28" t="str">
            <v>Ravikamatham</v>
          </cell>
          <cell r="C28">
            <v>12</v>
          </cell>
          <cell r="D28">
            <v>12</v>
          </cell>
          <cell r="E28">
            <v>100</v>
          </cell>
          <cell r="F28">
            <v>5</v>
          </cell>
          <cell r="G28">
            <v>11</v>
          </cell>
          <cell r="H28">
            <v>91.666666666666671</v>
          </cell>
          <cell r="I28">
            <v>4.5833333333333339</v>
          </cell>
          <cell r="J28">
            <v>9.5833333333333339</v>
          </cell>
          <cell r="K28">
            <v>95.833333333333343</v>
          </cell>
        </row>
        <row r="29">
          <cell r="B29" t="str">
            <v>Rolugunta</v>
          </cell>
          <cell r="C29">
            <v>12</v>
          </cell>
          <cell r="D29">
            <v>12</v>
          </cell>
          <cell r="E29">
            <v>100</v>
          </cell>
          <cell r="F29">
            <v>5</v>
          </cell>
          <cell r="G29">
            <v>11</v>
          </cell>
          <cell r="H29">
            <v>91.666666666666671</v>
          </cell>
          <cell r="I29">
            <v>4.5833333333333339</v>
          </cell>
          <cell r="J29">
            <v>9.5833333333333339</v>
          </cell>
          <cell r="K29">
            <v>95.833333333333343</v>
          </cell>
        </row>
        <row r="30">
          <cell r="B30" t="str">
            <v>S.Rayavaram</v>
          </cell>
          <cell r="C30">
            <v>12</v>
          </cell>
          <cell r="D30">
            <v>12</v>
          </cell>
          <cell r="E30">
            <v>100</v>
          </cell>
          <cell r="F30">
            <v>5</v>
          </cell>
          <cell r="G30">
            <v>11</v>
          </cell>
          <cell r="H30">
            <v>91.666666666666671</v>
          </cell>
          <cell r="I30">
            <v>4.5833333333333339</v>
          </cell>
          <cell r="J30">
            <v>9.5833333333333339</v>
          </cell>
          <cell r="K30">
            <v>95.833333333333343</v>
          </cell>
        </row>
        <row r="31">
          <cell r="B31" t="str">
            <v>Sabbavaram</v>
          </cell>
          <cell r="C31">
            <v>28</v>
          </cell>
          <cell r="D31">
            <v>27</v>
          </cell>
          <cell r="E31">
            <v>96.428571428571431</v>
          </cell>
          <cell r="F31">
            <v>4.8214285714285721</v>
          </cell>
          <cell r="G31">
            <v>27</v>
          </cell>
          <cell r="H31">
            <v>96.428571428571431</v>
          </cell>
          <cell r="I31">
            <v>4.8214285714285721</v>
          </cell>
          <cell r="J31">
            <v>9.6428571428571441</v>
          </cell>
          <cell r="K31">
            <v>96.428571428571431</v>
          </cell>
        </row>
        <row r="32">
          <cell r="B32" t="str">
            <v>V.Madugula</v>
          </cell>
          <cell r="C32">
            <v>14</v>
          </cell>
          <cell r="D32">
            <v>14</v>
          </cell>
          <cell r="E32">
            <v>100</v>
          </cell>
          <cell r="F32">
            <v>5</v>
          </cell>
          <cell r="G32">
            <v>13</v>
          </cell>
          <cell r="H32">
            <v>92.857142857142861</v>
          </cell>
          <cell r="I32">
            <v>4.6428571428571432</v>
          </cell>
          <cell r="J32">
            <v>9.6428571428571423</v>
          </cell>
          <cell r="K32">
            <v>96.428571428571431</v>
          </cell>
        </row>
        <row r="33">
          <cell r="B33" t="str">
            <v>Yelamanchili Rural</v>
          </cell>
          <cell r="C33">
            <v>10</v>
          </cell>
          <cell r="D33">
            <v>10</v>
          </cell>
          <cell r="E33">
            <v>100</v>
          </cell>
          <cell r="F33">
            <v>5</v>
          </cell>
          <cell r="G33">
            <v>9</v>
          </cell>
          <cell r="H33">
            <v>90</v>
          </cell>
          <cell r="I33">
            <v>4.5</v>
          </cell>
          <cell r="J33">
            <v>9.5</v>
          </cell>
          <cell r="K33">
            <v>95</v>
          </cell>
        </row>
        <row r="34">
          <cell r="B34" t="str">
            <v>Yelamanchili Town</v>
          </cell>
          <cell r="C34">
            <v>10</v>
          </cell>
          <cell r="D34">
            <v>10</v>
          </cell>
          <cell r="E34">
            <v>100</v>
          </cell>
          <cell r="F34">
            <v>5</v>
          </cell>
          <cell r="G34">
            <v>9</v>
          </cell>
          <cell r="H34">
            <v>90</v>
          </cell>
          <cell r="I34">
            <v>4.5</v>
          </cell>
          <cell r="J34">
            <v>9.5</v>
          </cell>
          <cell r="K34">
            <v>95</v>
          </cell>
        </row>
        <row r="35">
          <cell r="B35" t="str">
            <v>Yelamanchili Traffic</v>
          </cell>
          <cell r="C35">
            <v>8</v>
          </cell>
          <cell r="D35">
            <v>8</v>
          </cell>
          <cell r="E35">
            <v>100</v>
          </cell>
          <cell r="F35">
            <v>5</v>
          </cell>
          <cell r="G35">
            <v>7</v>
          </cell>
          <cell r="H35">
            <v>87.5</v>
          </cell>
          <cell r="I35">
            <v>4.375</v>
          </cell>
          <cell r="J35">
            <v>9.375</v>
          </cell>
          <cell r="K35">
            <v>93.75</v>
          </cell>
        </row>
        <row r="36">
          <cell r="C36">
            <v>513</v>
          </cell>
          <cell r="D36">
            <v>509</v>
          </cell>
          <cell r="E36">
            <v>99.506844506844516</v>
          </cell>
          <cell r="F36">
            <v>4.9753422253422261</v>
          </cell>
          <cell r="G36">
            <v>478</v>
          </cell>
          <cell r="H36">
            <v>91.876644278605056</v>
          </cell>
          <cell r="I36">
            <v>151.59646305969832</v>
          </cell>
          <cell r="J36">
            <v>315.78275649599186</v>
          </cell>
          <cell r="K36">
            <v>3157.8275649599186</v>
          </cell>
        </row>
      </sheetData>
      <sheetData sheetId="15">
        <row r="2">
          <cell r="B2" t="str">
            <v>PS</v>
          </cell>
          <cell r="C2" t="str">
            <v>FILES RECEIVED</v>
          </cell>
          <cell r="D2" t="str">
            <v>DISPOSAL</v>
          </cell>
          <cell r="E2" t="str">
            <v>TIME</v>
          </cell>
          <cell r="F2" t="str">
            <v>Raw Value</v>
          </cell>
          <cell r="G2" t="str">
            <v>Marks</v>
          </cell>
          <cell r="H2" t="str">
            <v>Reamrks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 t="str">
            <v>Gambling -1</v>
          </cell>
        </row>
        <row r="4">
          <cell r="B4" t="str">
            <v>Anakapalli Rural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 t="str">
            <v>Opend Drinking 2</v>
          </cell>
        </row>
        <row r="5">
          <cell r="B5" t="str">
            <v>Anakapalli Town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 t="str">
            <v>open driking 4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 t="str">
            <v>open drinking 2</v>
          </cell>
        </row>
        <row r="7">
          <cell r="B7" t="str">
            <v>Atchutapuram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 t="str">
            <v>Open drinking 4</v>
          </cell>
        </row>
        <row r="8">
          <cell r="B8" t="str">
            <v>Butchiyyapeta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 t="str">
            <v>Missing Case Traced</v>
          </cell>
        </row>
        <row r="9">
          <cell r="B9" t="str">
            <v>Cheedikada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str">
            <v>Gambling -1</v>
          </cell>
        </row>
        <row r="10">
          <cell r="B10" t="str">
            <v>Chodavaram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open drinking 1</v>
          </cell>
        </row>
        <row r="11">
          <cell r="B11" t="str">
            <v>Devarapalli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</sheetData>
      <sheetData sheetId="16">
        <row r="2">
          <cell r="B2" t="str">
            <v>PS Name</v>
          </cell>
          <cell r="C2" t="str">
            <v xml:space="preserve">Total FIRS 
Registered </v>
          </cell>
          <cell r="D2" t="str">
            <v>Total FORM1 Uploads</v>
          </cell>
          <cell r="E2" t="str">
            <v>Raw Value</v>
          </cell>
          <cell r="F2" t="str">
            <v>Marks</v>
          </cell>
        </row>
        <row r="3">
          <cell r="B3" t="str">
            <v>A.Koduru</v>
          </cell>
          <cell r="E3">
            <v>100</v>
          </cell>
          <cell r="F3">
            <v>10</v>
          </cell>
        </row>
        <row r="4">
          <cell r="B4" t="str">
            <v>Anakapalli Rural</v>
          </cell>
          <cell r="C4">
            <v>1</v>
          </cell>
          <cell r="D4">
            <v>1</v>
          </cell>
          <cell r="E4">
            <v>100</v>
          </cell>
          <cell r="F4">
            <v>10</v>
          </cell>
        </row>
        <row r="5">
          <cell r="B5" t="str">
            <v>Anakapalli Town</v>
          </cell>
          <cell r="E5">
            <v>100</v>
          </cell>
          <cell r="F5">
            <v>10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100</v>
          </cell>
          <cell r="F6">
            <v>10</v>
          </cell>
        </row>
        <row r="7">
          <cell r="B7" t="str">
            <v>Atchutapuram</v>
          </cell>
          <cell r="E7">
            <v>100</v>
          </cell>
          <cell r="F7">
            <v>10</v>
          </cell>
        </row>
        <row r="8">
          <cell r="B8" t="str">
            <v>Butchiyyapeta</v>
          </cell>
          <cell r="C8">
            <v>1</v>
          </cell>
          <cell r="D8">
            <v>1</v>
          </cell>
          <cell r="E8">
            <v>100</v>
          </cell>
          <cell r="F8">
            <v>10</v>
          </cell>
        </row>
        <row r="9">
          <cell r="B9" t="str">
            <v>Cheedikada</v>
          </cell>
          <cell r="E9">
            <v>100</v>
          </cell>
          <cell r="F9">
            <v>10</v>
          </cell>
        </row>
        <row r="10">
          <cell r="B10" t="str">
            <v>Chodavaram</v>
          </cell>
          <cell r="E10">
            <v>100</v>
          </cell>
          <cell r="F10">
            <v>10</v>
          </cell>
        </row>
        <row r="11">
          <cell r="B11" t="str">
            <v>Devarapalli</v>
          </cell>
          <cell r="E11">
            <v>100</v>
          </cell>
          <cell r="F11">
            <v>10</v>
          </cell>
        </row>
        <row r="12">
          <cell r="B12" t="str">
            <v>Golugonda</v>
          </cell>
          <cell r="E12">
            <v>100</v>
          </cell>
          <cell r="F12">
            <v>10</v>
          </cell>
        </row>
        <row r="13">
          <cell r="B13" t="str">
            <v>K.D.Peta</v>
          </cell>
          <cell r="E13">
            <v>100</v>
          </cell>
          <cell r="F13">
            <v>10</v>
          </cell>
        </row>
        <row r="14">
          <cell r="B14" t="str">
            <v>K.Kotapadu</v>
          </cell>
          <cell r="E14">
            <v>100</v>
          </cell>
          <cell r="F14">
            <v>10</v>
          </cell>
        </row>
        <row r="15">
          <cell r="B15" t="str">
            <v>Kasimkota</v>
          </cell>
          <cell r="E15">
            <v>100</v>
          </cell>
          <cell r="F15">
            <v>10</v>
          </cell>
        </row>
        <row r="16">
          <cell r="B16" t="str">
            <v>Kotavurtla</v>
          </cell>
          <cell r="E16">
            <v>100</v>
          </cell>
          <cell r="F16">
            <v>10</v>
          </cell>
        </row>
        <row r="17">
          <cell r="B17" t="str">
            <v>Kothakota</v>
          </cell>
          <cell r="E17">
            <v>100</v>
          </cell>
          <cell r="F17">
            <v>10</v>
          </cell>
        </row>
        <row r="18">
          <cell r="B18" t="str">
            <v>Mahila UPS, Anakapalli</v>
          </cell>
          <cell r="E18">
            <v>100</v>
          </cell>
          <cell r="F18">
            <v>10</v>
          </cell>
        </row>
        <row r="19">
          <cell r="B19" t="str">
            <v>Makavarapalem</v>
          </cell>
          <cell r="E19">
            <v>100</v>
          </cell>
          <cell r="F19">
            <v>10</v>
          </cell>
        </row>
        <row r="20">
          <cell r="B20" t="str">
            <v>Munagapaka</v>
          </cell>
          <cell r="C20">
            <v>1</v>
          </cell>
          <cell r="D20">
            <v>1</v>
          </cell>
          <cell r="E20">
            <v>100</v>
          </cell>
          <cell r="F20">
            <v>10</v>
          </cell>
        </row>
        <row r="21">
          <cell r="B21" t="str">
            <v>Nakkapalli</v>
          </cell>
          <cell r="C21">
            <v>2</v>
          </cell>
          <cell r="D21">
            <v>2</v>
          </cell>
          <cell r="E21">
            <v>100</v>
          </cell>
          <cell r="F21">
            <v>10</v>
          </cell>
        </row>
        <row r="22">
          <cell r="B22" t="str">
            <v>Narsipatnam Rural</v>
          </cell>
          <cell r="E22">
            <v>100</v>
          </cell>
          <cell r="F22">
            <v>10</v>
          </cell>
        </row>
        <row r="23">
          <cell r="B23" t="str">
            <v>Narsipatnam Town</v>
          </cell>
          <cell r="E23">
            <v>100</v>
          </cell>
          <cell r="F23">
            <v>10</v>
          </cell>
        </row>
        <row r="24">
          <cell r="B24" t="str">
            <v>Nathavaram</v>
          </cell>
          <cell r="E24">
            <v>100</v>
          </cell>
          <cell r="F24">
            <v>10</v>
          </cell>
        </row>
        <row r="25">
          <cell r="B25" t="str">
            <v>Parawada</v>
          </cell>
          <cell r="C25">
            <v>2</v>
          </cell>
          <cell r="D25">
            <v>2</v>
          </cell>
          <cell r="E25">
            <v>100</v>
          </cell>
          <cell r="F25">
            <v>10</v>
          </cell>
        </row>
        <row r="26">
          <cell r="B26" t="str">
            <v>Payakaraopeta</v>
          </cell>
          <cell r="E26">
            <v>100</v>
          </cell>
          <cell r="F26">
            <v>10</v>
          </cell>
        </row>
        <row r="27">
          <cell r="B27" t="str">
            <v>Rambilli</v>
          </cell>
          <cell r="E27">
            <v>100</v>
          </cell>
          <cell r="F27">
            <v>10</v>
          </cell>
        </row>
        <row r="28">
          <cell r="B28" t="str">
            <v>Ravikamatham</v>
          </cell>
          <cell r="E28">
            <v>100</v>
          </cell>
          <cell r="F28">
            <v>10</v>
          </cell>
        </row>
        <row r="29">
          <cell r="B29" t="str">
            <v>Rolugunta</v>
          </cell>
          <cell r="E29">
            <v>100</v>
          </cell>
          <cell r="F29">
            <v>10</v>
          </cell>
        </row>
        <row r="30">
          <cell r="B30" t="str">
            <v>S.Rayavaram</v>
          </cell>
          <cell r="C30">
            <v>1</v>
          </cell>
          <cell r="D30">
            <v>1</v>
          </cell>
          <cell r="E30">
            <v>100</v>
          </cell>
          <cell r="F30">
            <v>10</v>
          </cell>
        </row>
        <row r="31">
          <cell r="B31" t="str">
            <v>Sabbavaram</v>
          </cell>
          <cell r="C31">
            <v>1</v>
          </cell>
          <cell r="D31">
            <v>1</v>
          </cell>
          <cell r="E31">
            <v>100</v>
          </cell>
          <cell r="F31">
            <v>10</v>
          </cell>
        </row>
        <row r="32">
          <cell r="B32" t="str">
            <v>V.Madugula</v>
          </cell>
          <cell r="E32">
            <v>100</v>
          </cell>
          <cell r="F32">
            <v>10</v>
          </cell>
        </row>
        <row r="33">
          <cell r="B33" t="str">
            <v>Yelamanchili Rural</v>
          </cell>
          <cell r="C33">
            <v>1</v>
          </cell>
          <cell r="D33">
            <v>1</v>
          </cell>
          <cell r="E33">
            <v>100</v>
          </cell>
          <cell r="F33">
            <v>10</v>
          </cell>
        </row>
        <row r="34">
          <cell r="B34" t="str">
            <v>Yelamanchili Town</v>
          </cell>
          <cell r="E34">
            <v>100</v>
          </cell>
          <cell r="F34">
            <v>10</v>
          </cell>
        </row>
        <row r="35">
          <cell r="B35" t="str">
            <v>Yelamanchili Traffic</v>
          </cell>
          <cell r="E35">
            <v>100</v>
          </cell>
          <cell r="F35">
            <v>10</v>
          </cell>
        </row>
        <row r="36">
          <cell r="C36">
            <v>11</v>
          </cell>
          <cell r="D36">
            <v>11</v>
          </cell>
          <cell r="E36">
            <v>100</v>
          </cell>
          <cell r="F36">
            <v>10</v>
          </cell>
        </row>
      </sheetData>
      <sheetData sheetId="17">
        <row r="2">
          <cell r="B2" t="str">
            <v>PS</v>
          </cell>
          <cell r="C2">
            <v>46302</v>
          </cell>
          <cell r="E2">
            <v>46302</v>
          </cell>
          <cell r="G2">
            <v>2</v>
          </cell>
          <cell r="I2">
            <v>3</v>
          </cell>
          <cell r="K2">
            <v>4</v>
          </cell>
          <cell r="M2">
            <v>5</v>
          </cell>
          <cell r="O2">
            <v>6</v>
          </cell>
          <cell r="Q2" t="str">
            <v>MARKS</v>
          </cell>
          <cell r="R2" t="str">
            <v>RAW VALUE</v>
          </cell>
        </row>
        <row r="3">
          <cell r="C3" t="str">
            <v>WEB</v>
          </cell>
          <cell r="D3" t="str">
            <v>MOBILE</v>
          </cell>
          <cell r="E3" t="str">
            <v>WEB</v>
          </cell>
          <cell r="F3" t="str">
            <v>MOBILE</v>
          </cell>
          <cell r="G3" t="str">
            <v>WEB</v>
          </cell>
          <cell r="H3" t="str">
            <v>MOBILE</v>
          </cell>
          <cell r="I3" t="str">
            <v>WEB</v>
          </cell>
          <cell r="J3" t="str">
            <v>MOBILE</v>
          </cell>
          <cell r="K3" t="str">
            <v>WEB</v>
          </cell>
          <cell r="L3" t="str">
            <v>MOBILE</v>
          </cell>
          <cell r="M3" t="str">
            <v>WEB</v>
          </cell>
          <cell r="N3" t="str">
            <v>MOBILE</v>
          </cell>
          <cell r="O3" t="str">
            <v>WEB</v>
          </cell>
          <cell r="P3" t="str">
            <v>MOBILE</v>
          </cell>
        </row>
        <row r="4">
          <cell r="B4" t="str">
            <v>A.Koduru</v>
          </cell>
          <cell r="C4">
            <v>11</v>
          </cell>
          <cell r="D4">
            <v>9</v>
          </cell>
          <cell r="E4">
            <v>7</v>
          </cell>
          <cell r="F4">
            <v>1</v>
          </cell>
          <cell r="G4">
            <v>1</v>
          </cell>
          <cell r="H4">
            <v>1</v>
          </cell>
          <cell r="I4">
            <v>4</v>
          </cell>
          <cell r="J4">
            <v>4</v>
          </cell>
          <cell r="K4">
            <v>1</v>
          </cell>
          <cell r="L4">
            <v>1</v>
          </cell>
          <cell r="M4">
            <v>13</v>
          </cell>
          <cell r="N4">
            <v>7</v>
          </cell>
          <cell r="O4">
            <v>1</v>
          </cell>
          <cell r="P4">
            <v>6</v>
          </cell>
          <cell r="Q4">
            <v>5</v>
          </cell>
          <cell r="R4">
            <v>100</v>
          </cell>
        </row>
        <row r="5">
          <cell r="B5" t="str">
            <v>Anakapalli Rural</v>
          </cell>
          <cell r="C5">
            <v>1</v>
          </cell>
          <cell r="D5">
            <v>1</v>
          </cell>
          <cell r="E5">
            <v>3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5</v>
          </cell>
          <cell r="R5">
            <v>100</v>
          </cell>
        </row>
        <row r="6">
          <cell r="B6" t="str">
            <v>Anakapalli Town</v>
          </cell>
          <cell r="C6">
            <v>2</v>
          </cell>
          <cell r="D6">
            <v>1</v>
          </cell>
          <cell r="E6">
            <v>4</v>
          </cell>
          <cell r="F6">
            <v>1</v>
          </cell>
          <cell r="G6">
            <v>2</v>
          </cell>
          <cell r="H6">
            <v>1</v>
          </cell>
          <cell r="I6">
            <v>2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5</v>
          </cell>
          <cell r="R6">
            <v>100</v>
          </cell>
        </row>
        <row r="7">
          <cell r="B7" t="str">
            <v>Anakapalli Traffic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5</v>
          </cell>
          <cell r="R7">
            <v>100</v>
          </cell>
        </row>
        <row r="8">
          <cell r="B8" t="str">
            <v>Atchutapuram</v>
          </cell>
          <cell r="C8">
            <v>1</v>
          </cell>
          <cell r="E8">
            <v>1</v>
          </cell>
          <cell r="H8">
            <v>1</v>
          </cell>
          <cell r="K8">
            <v>1</v>
          </cell>
          <cell r="M8">
            <v>1</v>
          </cell>
          <cell r="N8">
            <v>1</v>
          </cell>
          <cell r="Q8">
            <v>2.1428571428571428</v>
          </cell>
          <cell r="R8">
            <v>42.857142857142854</v>
          </cell>
        </row>
        <row r="9">
          <cell r="B9" t="str">
            <v>Butchiyyapeta</v>
          </cell>
          <cell r="C9">
            <v>1</v>
          </cell>
          <cell r="G9">
            <v>1</v>
          </cell>
          <cell r="I9">
            <v>4</v>
          </cell>
          <cell r="J9">
            <v>1</v>
          </cell>
          <cell r="K9">
            <v>2</v>
          </cell>
          <cell r="M9">
            <v>1</v>
          </cell>
          <cell r="N9">
            <v>1</v>
          </cell>
          <cell r="O9">
            <v>1</v>
          </cell>
          <cell r="Q9">
            <v>2.8571428571428572</v>
          </cell>
          <cell r="R9">
            <v>57.142857142857139</v>
          </cell>
        </row>
        <row r="10">
          <cell r="B10" t="str">
            <v>Cheedikada</v>
          </cell>
          <cell r="C10">
            <v>1</v>
          </cell>
          <cell r="G10">
            <v>1</v>
          </cell>
          <cell r="J10">
            <v>1</v>
          </cell>
          <cell r="L10">
            <v>1</v>
          </cell>
          <cell r="N10">
            <v>1</v>
          </cell>
          <cell r="Q10">
            <v>1.7857142857142858</v>
          </cell>
          <cell r="R10">
            <v>35.714285714285715</v>
          </cell>
        </row>
        <row r="11">
          <cell r="B11" t="str">
            <v>Chodavaram</v>
          </cell>
          <cell r="C11">
            <v>5</v>
          </cell>
          <cell r="D11">
            <v>1</v>
          </cell>
          <cell r="E11">
            <v>2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2</v>
          </cell>
          <cell r="N11">
            <v>1</v>
          </cell>
          <cell r="O11">
            <v>1</v>
          </cell>
          <cell r="P11">
            <v>1</v>
          </cell>
          <cell r="Q11">
            <v>5</v>
          </cell>
          <cell r="R11">
            <v>100</v>
          </cell>
        </row>
        <row r="12">
          <cell r="B12" t="str">
            <v>Devarapalli</v>
          </cell>
          <cell r="C12">
            <v>1</v>
          </cell>
          <cell r="F12">
            <v>1</v>
          </cell>
          <cell r="I12">
            <v>4</v>
          </cell>
          <cell r="J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3.2142857142857144</v>
          </cell>
          <cell r="R12">
            <v>64.285714285714292</v>
          </cell>
        </row>
        <row r="13">
          <cell r="B13" t="str">
            <v>Golugonda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5</v>
          </cell>
          <cell r="R13">
            <v>100</v>
          </cell>
        </row>
        <row r="14">
          <cell r="B14" t="str">
            <v>K.D.Peta</v>
          </cell>
          <cell r="C14">
            <v>1</v>
          </cell>
          <cell r="E14">
            <v>1</v>
          </cell>
          <cell r="G14">
            <v>1</v>
          </cell>
          <cell r="I14">
            <v>1</v>
          </cell>
          <cell r="K14">
            <v>1</v>
          </cell>
          <cell r="M14">
            <v>1</v>
          </cell>
          <cell r="O14">
            <v>1</v>
          </cell>
          <cell r="Q14">
            <v>2.5</v>
          </cell>
          <cell r="R14">
            <v>50</v>
          </cell>
        </row>
        <row r="15">
          <cell r="B15" t="str">
            <v>K.Kotapadu</v>
          </cell>
          <cell r="C15">
            <v>1</v>
          </cell>
          <cell r="E15">
            <v>1</v>
          </cell>
          <cell r="G15">
            <v>1</v>
          </cell>
          <cell r="I15">
            <v>1</v>
          </cell>
          <cell r="K15">
            <v>1</v>
          </cell>
          <cell r="M15">
            <v>1</v>
          </cell>
          <cell r="Q15">
            <v>2.1428571428571428</v>
          </cell>
          <cell r="R15">
            <v>42.857142857142854</v>
          </cell>
        </row>
        <row r="16">
          <cell r="B16" t="str">
            <v>Kasimkota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5</v>
          </cell>
          <cell r="R16">
            <v>100</v>
          </cell>
        </row>
        <row r="17">
          <cell r="B17" t="str">
            <v>Kotavurtla</v>
          </cell>
          <cell r="C17">
            <v>1</v>
          </cell>
          <cell r="D17">
            <v>1</v>
          </cell>
          <cell r="E17">
            <v>5</v>
          </cell>
          <cell r="F17">
            <v>2</v>
          </cell>
          <cell r="G17">
            <v>1</v>
          </cell>
          <cell r="H17">
            <v>1</v>
          </cell>
          <cell r="I17">
            <v>1</v>
          </cell>
          <cell r="J17">
            <v>2</v>
          </cell>
          <cell r="K17">
            <v>1</v>
          </cell>
          <cell r="L17">
            <v>1</v>
          </cell>
          <cell r="M17">
            <v>16</v>
          </cell>
          <cell r="N17">
            <v>3</v>
          </cell>
          <cell r="O17">
            <v>50</v>
          </cell>
          <cell r="P17">
            <v>1</v>
          </cell>
          <cell r="Q17">
            <v>5</v>
          </cell>
          <cell r="R17">
            <v>100</v>
          </cell>
        </row>
        <row r="18">
          <cell r="B18" t="str">
            <v>Kothakota</v>
          </cell>
          <cell r="C18">
            <v>1</v>
          </cell>
          <cell r="H18">
            <v>1</v>
          </cell>
          <cell r="L18">
            <v>1</v>
          </cell>
          <cell r="Q18">
            <v>1.0714285714285714</v>
          </cell>
          <cell r="R18">
            <v>21.428571428571427</v>
          </cell>
        </row>
        <row r="19">
          <cell r="B19" t="str">
            <v>Mahila UPS, Anakapalli</v>
          </cell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5</v>
          </cell>
          <cell r="R19">
            <v>100</v>
          </cell>
        </row>
        <row r="20">
          <cell r="B20" t="str">
            <v>Makavarapalem</v>
          </cell>
          <cell r="Q20">
            <v>0</v>
          </cell>
          <cell r="R20">
            <v>0</v>
          </cell>
        </row>
        <row r="21">
          <cell r="B21" t="str">
            <v>Munagapaka</v>
          </cell>
          <cell r="C21">
            <v>6</v>
          </cell>
          <cell r="D21">
            <v>1</v>
          </cell>
          <cell r="E21">
            <v>1</v>
          </cell>
          <cell r="F21">
            <v>1</v>
          </cell>
          <cell r="G21">
            <v>5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2</v>
          </cell>
          <cell r="N21">
            <v>1</v>
          </cell>
          <cell r="O21">
            <v>1</v>
          </cell>
          <cell r="P21">
            <v>1</v>
          </cell>
          <cell r="Q21">
            <v>5</v>
          </cell>
          <cell r="R21">
            <v>100</v>
          </cell>
        </row>
        <row r="22">
          <cell r="B22" t="str">
            <v>Nakkapalli</v>
          </cell>
          <cell r="C22">
            <v>1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21</v>
          </cell>
          <cell r="L22">
            <v>13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5</v>
          </cell>
          <cell r="R22">
            <v>100</v>
          </cell>
        </row>
        <row r="23">
          <cell r="B23" t="str">
            <v>Narsipatnam Rural</v>
          </cell>
          <cell r="C23">
            <v>1</v>
          </cell>
          <cell r="D23">
            <v>1</v>
          </cell>
          <cell r="E23">
            <v>1</v>
          </cell>
          <cell r="G23">
            <v>1</v>
          </cell>
          <cell r="I23">
            <v>1</v>
          </cell>
          <cell r="K23">
            <v>1</v>
          </cell>
          <cell r="L23">
            <v>1</v>
          </cell>
          <cell r="N23">
            <v>1</v>
          </cell>
          <cell r="Q23">
            <v>2.8571428571428572</v>
          </cell>
          <cell r="R23">
            <v>57.142857142857139</v>
          </cell>
        </row>
        <row r="24">
          <cell r="B24" t="str">
            <v>Narsipatnam Town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  <cell r="G24">
            <v>2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4</v>
          </cell>
          <cell r="N24">
            <v>1</v>
          </cell>
          <cell r="O24">
            <v>3</v>
          </cell>
          <cell r="P24">
            <v>1</v>
          </cell>
          <cell r="Q24">
            <v>5</v>
          </cell>
          <cell r="R24">
            <v>100</v>
          </cell>
        </row>
        <row r="25">
          <cell r="B25" t="str">
            <v>Nathavaram</v>
          </cell>
          <cell r="C25">
            <v>1</v>
          </cell>
          <cell r="D25">
            <v>1</v>
          </cell>
          <cell r="E25">
            <v>1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O25">
            <v>1</v>
          </cell>
          <cell r="Q25">
            <v>3.9285714285714284</v>
          </cell>
          <cell r="R25">
            <v>78.571428571428569</v>
          </cell>
        </row>
        <row r="26">
          <cell r="B26" t="str">
            <v>Parawada</v>
          </cell>
          <cell r="C26">
            <v>1</v>
          </cell>
          <cell r="E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N26">
            <v>1</v>
          </cell>
          <cell r="Q26">
            <v>3.2142857142857144</v>
          </cell>
          <cell r="R26">
            <v>64.285714285714292</v>
          </cell>
        </row>
        <row r="27">
          <cell r="B27" t="str">
            <v>Payakaraopeta</v>
          </cell>
          <cell r="C27">
            <v>1</v>
          </cell>
          <cell r="D27">
            <v>1</v>
          </cell>
          <cell r="E27">
            <v>1</v>
          </cell>
          <cell r="F27">
            <v>1</v>
          </cell>
          <cell r="G27">
            <v>2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2</v>
          </cell>
          <cell r="N27">
            <v>1</v>
          </cell>
          <cell r="O27">
            <v>1</v>
          </cell>
          <cell r="P27">
            <v>1</v>
          </cell>
          <cell r="Q27">
            <v>5</v>
          </cell>
          <cell r="R27">
            <v>100</v>
          </cell>
        </row>
        <row r="28">
          <cell r="B28" t="str">
            <v>Rambilli</v>
          </cell>
          <cell r="C28">
            <v>2</v>
          </cell>
          <cell r="D28">
            <v>1</v>
          </cell>
          <cell r="G28">
            <v>1</v>
          </cell>
          <cell r="H28">
            <v>1</v>
          </cell>
          <cell r="J28">
            <v>1</v>
          </cell>
          <cell r="K28">
            <v>3</v>
          </cell>
          <cell r="L28">
            <v>1</v>
          </cell>
          <cell r="N28">
            <v>1</v>
          </cell>
          <cell r="O28">
            <v>1</v>
          </cell>
          <cell r="Q28">
            <v>3.2142857142857144</v>
          </cell>
          <cell r="R28">
            <v>64.285714285714292</v>
          </cell>
        </row>
        <row r="29">
          <cell r="B29" t="str">
            <v>Ravikamatham</v>
          </cell>
          <cell r="C29">
            <v>1</v>
          </cell>
          <cell r="D29">
            <v>1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Q29">
            <v>4.2857142857142856</v>
          </cell>
          <cell r="R29">
            <v>85.714285714285708</v>
          </cell>
        </row>
        <row r="30">
          <cell r="B30" t="str">
            <v>Rolugunta</v>
          </cell>
          <cell r="C30">
            <v>1</v>
          </cell>
          <cell r="D30">
            <v>1</v>
          </cell>
          <cell r="F30">
            <v>1</v>
          </cell>
          <cell r="H30">
            <v>1</v>
          </cell>
          <cell r="J30">
            <v>1</v>
          </cell>
          <cell r="K30">
            <v>1</v>
          </cell>
          <cell r="M30">
            <v>1</v>
          </cell>
          <cell r="N30">
            <v>1</v>
          </cell>
          <cell r="Q30">
            <v>2.8571428571428572</v>
          </cell>
          <cell r="R30">
            <v>57.142857142857139</v>
          </cell>
        </row>
        <row r="31">
          <cell r="B31" t="str">
            <v>S.Rayavaram</v>
          </cell>
          <cell r="C31">
            <v>1</v>
          </cell>
          <cell r="D31">
            <v>1</v>
          </cell>
          <cell r="E31">
            <v>1</v>
          </cell>
          <cell r="F31">
            <v>1</v>
          </cell>
          <cell r="G31">
            <v>1</v>
          </cell>
          <cell r="I31">
            <v>1</v>
          </cell>
          <cell r="J31">
            <v>1</v>
          </cell>
          <cell r="K31">
            <v>1</v>
          </cell>
          <cell r="M31">
            <v>1</v>
          </cell>
          <cell r="O31">
            <v>1</v>
          </cell>
          <cell r="Q31">
            <v>3.5714285714285716</v>
          </cell>
          <cell r="R31">
            <v>71.428571428571431</v>
          </cell>
        </row>
        <row r="32">
          <cell r="B32" t="str">
            <v>Sabbavaram</v>
          </cell>
          <cell r="C32">
            <v>1</v>
          </cell>
          <cell r="D32">
            <v>1</v>
          </cell>
          <cell r="E32">
            <v>5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3</v>
          </cell>
          <cell r="L32">
            <v>1</v>
          </cell>
          <cell r="M32">
            <v>4</v>
          </cell>
          <cell r="N32">
            <v>1</v>
          </cell>
          <cell r="O32">
            <v>3</v>
          </cell>
          <cell r="P32">
            <v>1</v>
          </cell>
          <cell r="Q32">
            <v>5</v>
          </cell>
          <cell r="R32">
            <v>100</v>
          </cell>
        </row>
        <row r="33">
          <cell r="B33" t="str">
            <v>V.Madugula</v>
          </cell>
          <cell r="C33">
            <v>1</v>
          </cell>
          <cell r="D33">
            <v>1</v>
          </cell>
          <cell r="E33">
            <v>1</v>
          </cell>
          <cell r="H33">
            <v>1</v>
          </cell>
          <cell r="J33">
            <v>1</v>
          </cell>
          <cell r="L33">
            <v>1</v>
          </cell>
          <cell r="Q33">
            <v>2.1428571428571428</v>
          </cell>
          <cell r="R33">
            <v>42.857142857142854</v>
          </cell>
        </row>
        <row r="34">
          <cell r="B34" t="str">
            <v>Yelamanchili Rural</v>
          </cell>
          <cell r="C34">
            <v>1</v>
          </cell>
          <cell r="D34">
            <v>1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J34">
            <v>1</v>
          </cell>
          <cell r="K34">
            <v>3</v>
          </cell>
          <cell r="L34">
            <v>1</v>
          </cell>
          <cell r="M34">
            <v>1</v>
          </cell>
          <cell r="O34">
            <v>2</v>
          </cell>
          <cell r="Q34">
            <v>3.9285714285714284</v>
          </cell>
          <cell r="R34">
            <v>78.571428571428569</v>
          </cell>
        </row>
        <row r="35">
          <cell r="B35" t="str">
            <v>Yelamanchili Town</v>
          </cell>
          <cell r="C35">
            <v>1</v>
          </cell>
          <cell r="D35">
            <v>1</v>
          </cell>
          <cell r="E35">
            <v>1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O35">
            <v>1</v>
          </cell>
          <cell r="Q35">
            <v>4.2857142857142856</v>
          </cell>
          <cell r="R35">
            <v>85.714285714285708</v>
          </cell>
        </row>
        <row r="36">
          <cell r="B36" t="str">
            <v>Yelamanchili Traffic</v>
          </cell>
          <cell r="C36">
            <v>1</v>
          </cell>
          <cell r="D36">
            <v>1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I36">
            <v>1</v>
          </cell>
          <cell r="J36">
            <v>1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5</v>
          </cell>
          <cell r="R36">
            <v>100</v>
          </cell>
        </row>
        <row r="37">
          <cell r="C37">
            <v>53</v>
          </cell>
          <cell r="D37">
            <v>32</v>
          </cell>
          <cell r="E37">
            <v>45</v>
          </cell>
          <cell r="F37">
            <v>22</v>
          </cell>
          <cell r="G37">
            <v>34</v>
          </cell>
          <cell r="H37">
            <v>25</v>
          </cell>
          <cell r="I37">
            <v>36</v>
          </cell>
          <cell r="J37">
            <v>31</v>
          </cell>
          <cell r="K37">
            <v>55</v>
          </cell>
          <cell r="L37">
            <v>38</v>
          </cell>
          <cell r="M37">
            <v>62</v>
          </cell>
          <cell r="N37">
            <v>32</v>
          </cell>
          <cell r="O37">
            <v>77</v>
          </cell>
          <cell r="P37">
            <v>21</v>
          </cell>
          <cell r="Q37">
            <v>3.7878787878787885</v>
          </cell>
          <cell r="R37">
            <v>75.757575757575765</v>
          </cell>
        </row>
      </sheetData>
      <sheetData sheetId="18">
        <row r="2">
          <cell r="B2" t="str">
            <v>PS NAME</v>
          </cell>
          <cell r="C2" t="str">
            <v>Raw Value</v>
          </cell>
          <cell r="D2" t="str">
            <v>Marks
(5%)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19">
        <row r="2">
          <cell r="B2" t="str">
            <v>PS NAME</v>
          </cell>
          <cell r="C2" t="str">
            <v>Total
 Cases Reported</v>
          </cell>
          <cell r="D2" t="str">
            <v>No. of cases
 eFSLcreated</v>
          </cell>
          <cell r="E2" t="str">
            <v>Raw Value</v>
          </cell>
          <cell r="F2" t="str">
            <v>Marks
(5%)</v>
          </cell>
        </row>
        <row r="3">
          <cell r="B3" t="str">
            <v>A.Koduru</v>
          </cell>
          <cell r="C3">
            <v>1</v>
          </cell>
          <cell r="D3">
            <v>0</v>
          </cell>
          <cell r="E3">
            <v>0</v>
          </cell>
          <cell r="F3">
            <v>0</v>
          </cell>
        </row>
        <row r="4">
          <cell r="B4" t="str">
            <v>Anakapalli Rural</v>
          </cell>
          <cell r="C4">
            <v>3</v>
          </cell>
          <cell r="D4">
            <v>0</v>
          </cell>
          <cell r="E4">
            <v>0</v>
          </cell>
          <cell r="F4">
            <v>0</v>
          </cell>
        </row>
        <row r="5">
          <cell r="B5" t="str">
            <v>Anakapalli Town</v>
          </cell>
          <cell r="E5">
            <v>100</v>
          </cell>
          <cell r="F5">
            <v>5</v>
          </cell>
        </row>
        <row r="6">
          <cell r="B6" t="str">
            <v>Anakapalli Traffic</v>
          </cell>
          <cell r="E6">
            <v>100</v>
          </cell>
          <cell r="F6">
            <v>5</v>
          </cell>
        </row>
        <row r="7">
          <cell r="B7" t="str">
            <v>Atchutapuram</v>
          </cell>
          <cell r="E7">
            <v>100</v>
          </cell>
          <cell r="F7">
            <v>5</v>
          </cell>
        </row>
        <row r="8">
          <cell r="B8" t="str">
            <v>Butchiyyapeta</v>
          </cell>
          <cell r="C8">
            <v>1</v>
          </cell>
          <cell r="D8">
            <v>0</v>
          </cell>
          <cell r="E8">
            <v>0</v>
          </cell>
          <cell r="F8">
            <v>0</v>
          </cell>
        </row>
        <row r="9">
          <cell r="B9" t="str">
            <v>Cheedikada</v>
          </cell>
          <cell r="E9">
            <v>100</v>
          </cell>
          <cell r="F9">
            <v>5</v>
          </cell>
        </row>
        <row r="10">
          <cell r="B10" t="str">
            <v>Chodavaram</v>
          </cell>
          <cell r="E10">
            <v>100</v>
          </cell>
          <cell r="F10">
            <v>5</v>
          </cell>
        </row>
        <row r="11">
          <cell r="B11" t="str">
            <v>Devarapalli</v>
          </cell>
          <cell r="C11">
            <v>1</v>
          </cell>
          <cell r="D11">
            <v>0</v>
          </cell>
          <cell r="E11">
            <v>0</v>
          </cell>
          <cell r="F11">
            <v>0</v>
          </cell>
        </row>
        <row r="12">
          <cell r="B12" t="str">
            <v>Golugonda</v>
          </cell>
          <cell r="E12">
            <v>100</v>
          </cell>
          <cell r="F12">
            <v>5</v>
          </cell>
        </row>
        <row r="13">
          <cell r="B13" t="str">
            <v>K.D.Peta</v>
          </cell>
          <cell r="E13">
            <v>100</v>
          </cell>
          <cell r="F13">
            <v>5</v>
          </cell>
        </row>
        <row r="14">
          <cell r="B14" t="str">
            <v>K.Kotapadu</v>
          </cell>
          <cell r="C14">
            <v>1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Kasimkota</v>
          </cell>
          <cell r="E15">
            <v>100</v>
          </cell>
          <cell r="F15">
            <v>5</v>
          </cell>
        </row>
        <row r="16">
          <cell r="B16" t="str">
            <v>Kotavurtla</v>
          </cell>
          <cell r="C16">
            <v>1</v>
          </cell>
          <cell r="D16">
            <v>0</v>
          </cell>
          <cell r="E16">
            <v>0</v>
          </cell>
          <cell r="F16">
            <v>0</v>
          </cell>
        </row>
        <row r="17">
          <cell r="B17" t="str">
            <v>Kothakota</v>
          </cell>
          <cell r="E17">
            <v>100</v>
          </cell>
          <cell r="F17">
            <v>5</v>
          </cell>
        </row>
        <row r="18">
          <cell r="B18" t="str">
            <v>Mahila UPS, Anakapalli</v>
          </cell>
          <cell r="E18">
            <v>100</v>
          </cell>
          <cell r="F18">
            <v>5</v>
          </cell>
        </row>
        <row r="19">
          <cell r="B19" t="str">
            <v>Makavarapalem</v>
          </cell>
          <cell r="C19">
            <v>1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Munagapaka</v>
          </cell>
          <cell r="E20">
            <v>100</v>
          </cell>
          <cell r="F20">
            <v>5</v>
          </cell>
        </row>
        <row r="21">
          <cell r="B21" t="str">
            <v>Nakkapalli</v>
          </cell>
          <cell r="E21">
            <v>100</v>
          </cell>
          <cell r="F21">
            <v>5</v>
          </cell>
        </row>
        <row r="22">
          <cell r="B22" t="str">
            <v>Narsipatnam Rural</v>
          </cell>
          <cell r="E22">
            <v>100</v>
          </cell>
          <cell r="F22">
            <v>5</v>
          </cell>
        </row>
        <row r="23">
          <cell r="B23" t="str">
            <v>Narsipatnam Town</v>
          </cell>
          <cell r="E23">
            <v>100</v>
          </cell>
          <cell r="F23">
            <v>5</v>
          </cell>
        </row>
        <row r="24">
          <cell r="B24" t="str">
            <v>Nathavaram</v>
          </cell>
          <cell r="E24">
            <v>100</v>
          </cell>
          <cell r="F24">
            <v>5</v>
          </cell>
        </row>
        <row r="25">
          <cell r="B25" t="str">
            <v>Parawada</v>
          </cell>
          <cell r="C25">
            <v>3</v>
          </cell>
          <cell r="D25">
            <v>0</v>
          </cell>
          <cell r="E25">
            <v>0</v>
          </cell>
          <cell r="F25">
            <v>0</v>
          </cell>
        </row>
        <row r="26">
          <cell r="B26" t="str">
            <v>Payakaraopeta</v>
          </cell>
          <cell r="E26">
            <v>100</v>
          </cell>
          <cell r="F26">
            <v>5</v>
          </cell>
        </row>
        <row r="27">
          <cell r="B27" t="str">
            <v>Rambilli</v>
          </cell>
          <cell r="E27">
            <v>100</v>
          </cell>
          <cell r="F27">
            <v>5</v>
          </cell>
        </row>
        <row r="28">
          <cell r="B28" t="str">
            <v>Ravikamatham</v>
          </cell>
          <cell r="E28">
            <v>100</v>
          </cell>
          <cell r="F28">
            <v>5</v>
          </cell>
        </row>
        <row r="29">
          <cell r="B29" t="str">
            <v>Rolugunta</v>
          </cell>
          <cell r="E29">
            <v>100</v>
          </cell>
          <cell r="F29">
            <v>5</v>
          </cell>
        </row>
        <row r="30">
          <cell r="B30" t="str">
            <v>S.Rayavaram</v>
          </cell>
          <cell r="E30">
            <v>100</v>
          </cell>
          <cell r="F30">
            <v>5</v>
          </cell>
        </row>
        <row r="31">
          <cell r="B31" t="str">
            <v>Sabbavaram</v>
          </cell>
          <cell r="E31">
            <v>100</v>
          </cell>
          <cell r="F31">
            <v>5</v>
          </cell>
        </row>
        <row r="32">
          <cell r="B32" t="str">
            <v>V.Madugula</v>
          </cell>
          <cell r="E32">
            <v>100</v>
          </cell>
          <cell r="F32">
            <v>5</v>
          </cell>
        </row>
        <row r="33">
          <cell r="B33" t="str">
            <v>Yelamanchili Rural</v>
          </cell>
          <cell r="E33">
            <v>100</v>
          </cell>
          <cell r="F33">
            <v>5</v>
          </cell>
        </row>
        <row r="34">
          <cell r="B34" t="str">
            <v>Yelamanchili Town</v>
          </cell>
          <cell r="C34">
            <v>1</v>
          </cell>
          <cell r="D34">
            <v>0</v>
          </cell>
          <cell r="E34">
            <v>0</v>
          </cell>
          <cell r="F34">
            <v>0</v>
          </cell>
        </row>
        <row r="35">
          <cell r="B35" t="str">
            <v>Yelamanchili Traffic</v>
          </cell>
          <cell r="E35">
            <v>100</v>
          </cell>
          <cell r="F35">
            <v>5</v>
          </cell>
        </row>
        <row r="36">
          <cell r="E36">
            <v>100</v>
          </cell>
          <cell r="F36">
            <v>0</v>
          </cell>
        </row>
      </sheetData>
      <sheetData sheetId="20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1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078A-7B33-495D-B51C-8E23BE89232E}">
  <sheetPr>
    <tabColor rgb="FF00B0F0"/>
    <pageSetUpPr fitToPage="1"/>
  </sheetPr>
  <dimension ref="A1:W35"/>
  <sheetViews>
    <sheetView tabSelected="1" workbookViewId="0">
      <pane ySplit="2" topLeftCell="A3" activePane="bottomLeft" state="frozen"/>
      <selection pane="bottomLeft" activeCell="S3" sqref="S3"/>
    </sheetView>
  </sheetViews>
  <sheetFormatPr defaultRowHeight="14.5" x14ac:dyDescent="0.35"/>
  <cols>
    <col min="1" max="1" width="23.54296875" customWidth="1"/>
    <col min="2" max="23" width="7" style="10" customWidth="1"/>
  </cols>
  <sheetData>
    <row r="1" spans="1:23" ht="84.6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3.75" customHeight="1" x14ac:dyDescent="0.35">
      <c r="A2" s="4" t="s">
        <v>23</v>
      </c>
      <c r="B2" s="5">
        <v>2.5000000000000001E-2</v>
      </c>
      <c r="C2" s="5">
        <v>2.5000000000000001E-2</v>
      </c>
      <c r="D2" s="6">
        <v>0.05</v>
      </c>
      <c r="E2" s="5">
        <v>2.5000000000000001E-2</v>
      </c>
      <c r="F2" s="5">
        <v>2.5000000000000001E-2</v>
      </c>
      <c r="G2" s="5">
        <v>2.5000000000000001E-2</v>
      </c>
      <c r="H2" s="5">
        <v>2.5000000000000001E-2</v>
      </c>
      <c r="I2" s="6">
        <v>0.05</v>
      </c>
      <c r="J2" s="6">
        <v>0.05</v>
      </c>
      <c r="K2" s="6">
        <v>0.05</v>
      </c>
      <c r="L2" s="6">
        <v>0.05</v>
      </c>
      <c r="M2" s="6">
        <v>0.05</v>
      </c>
      <c r="N2" s="6">
        <v>0.05</v>
      </c>
      <c r="O2" s="6">
        <v>0.05</v>
      </c>
      <c r="P2" s="6">
        <v>0.1</v>
      </c>
      <c r="Q2" s="6">
        <v>0.05</v>
      </c>
      <c r="R2" s="6">
        <v>0.1</v>
      </c>
      <c r="S2" s="6">
        <v>0.05</v>
      </c>
      <c r="T2" s="6">
        <v>0.05</v>
      </c>
      <c r="U2" s="6">
        <v>0.05</v>
      </c>
      <c r="V2" s="5">
        <v>2.5000000000000001E-2</v>
      </c>
      <c r="W2" s="5">
        <v>2.5000000000000001E-2</v>
      </c>
    </row>
    <row r="3" spans="1:23" s="9" customFormat="1" ht="26.15" customHeight="1" x14ac:dyDescent="0.35">
      <c r="A3" s="7" t="s">
        <v>24</v>
      </c>
      <c r="B3" s="8" t="str">
        <f>VLOOKUP(A3,'[1]1_MEDLEAPR_PME'!B:H,6,0)</f>
        <v>100.00</v>
      </c>
      <c r="C3" s="8" t="str">
        <f>VLOOKUP(A3,'[1]2_MEDLEAPR_MLC'!B:I,6,0)</f>
        <v>100.00</v>
      </c>
      <c r="D3" s="8">
        <f>VLOOKUP(A3,'[1]3_NATGRID'!B:H,6,0)</f>
        <v>0</v>
      </c>
      <c r="E3" s="8">
        <f>VLOOKUP(A3,'[1]4_DGP_DASH'!B:E,3,0)</f>
        <v>100</v>
      </c>
      <c r="F3" s="8">
        <f>VLOOKUP(A3,'[1]5_CCTNS_TILL'!B:P,13,0)</f>
        <v>100</v>
      </c>
      <c r="G3" s="8">
        <f>VLOOKUP(A3,'[1]6_CCTNS_1_7'!B:P,13,0)</f>
        <v>100</v>
      </c>
      <c r="H3" s="8">
        <f>VLOOKUP(A3,'[1]7_CCTNS_8_15'!B:M,11,0)</f>
        <v>0</v>
      </c>
      <c r="I3" s="8">
        <f>VLOOKUP(A3,'[1]8_ZERO_FIRS'!B:H,6,0)</f>
        <v>100</v>
      </c>
      <c r="J3" s="8">
        <f>VLOOKUP(A3,'[1]9_CITIZEN_PORTAL'!B:H,6,0)</f>
        <v>100</v>
      </c>
      <c r="K3" s="8">
        <f>VLOOKUP(A3,'[1]10_ESAKSHYA'!B:L,6,0)</f>
        <v>100</v>
      </c>
      <c r="L3" s="8">
        <f>VLOOKUP(A3,'[1]11_CEIR'!B:L,10,0)</f>
        <v>0</v>
      </c>
      <c r="M3" s="8">
        <f>VLOOKUP(A3,'[1]12_EPROSEC'!B:H,4,0)</f>
        <v>100</v>
      </c>
      <c r="N3" s="8">
        <f>VLOOKUP(A3,'[1]13_FIR_CS_COURT'!B:L,11,0)</f>
        <v>77.371246768741301</v>
      </c>
      <c r="O3" s="8">
        <f>VLOOKUP(A3,'[1]14_EOFFICE'!B:K,9,0)</f>
        <v>0</v>
      </c>
      <c r="P3" s="8">
        <f>VLOOKUP(A3,'[1]15_APOLIS'!B:K,10,0)</f>
        <v>100</v>
      </c>
      <c r="Q3" s="8">
        <f>VLOOKUP(A3,'[1]16_APOLICE_FP'!B:H,5,0)</f>
        <v>0</v>
      </c>
      <c r="R3" s="8">
        <f>VLOOKUP(A3,'[1]17_EDAR'!B:F,4,0)</f>
        <v>100</v>
      </c>
      <c r="S3" s="8">
        <f>VLOOKUP(A3,'[1]18_CCTV_360'!B:S,17,0)</f>
        <v>100</v>
      </c>
      <c r="T3" s="8">
        <f>VLOOKUP(A3,'[1]19_NEWS360AI'!B:D,2,0)</f>
        <v>0</v>
      </c>
      <c r="U3" s="8">
        <f>VLOOKUP(A3,'[1]20_eFSL'!B:F,4,0)</f>
        <v>0</v>
      </c>
      <c r="V3" s="8">
        <f>VLOOKUP(A3,'[1]21_UC3'!B:D,2,0)</f>
        <v>0</v>
      </c>
      <c r="W3" s="8">
        <f>VLOOKUP(A3,'[1]22_UC4'!B:D,3,0)</f>
        <v>0</v>
      </c>
    </row>
    <row r="4" spans="1:23" s="9" customFormat="1" ht="26.15" customHeight="1" x14ac:dyDescent="0.35">
      <c r="A4" s="7" t="s">
        <v>25</v>
      </c>
      <c r="B4" s="8">
        <f>VLOOKUP(A4,'[1]1_MEDLEAPR_PME'!B:H,6,0)</f>
        <v>100</v>
      </c>
      <c r="C4" s="8" t="str">
        <f>VLOOKUP(A4,'[1]2_MEDLEAPR_MLC'!B:I,6,0)</f>
        <v>100.00</v>
      </c>
      <c r="D4" s="8">
        <f>VLOOKUP(A4,'[1]3_NATGRID'!B:H,6,0)</f>
        <v>0</v>
      </c>
      <c r="E4" s="8">
        <f>VLOOKUP(A4,'[1]4_DGP_DASH'!B:E,3,0)</f>
        <v>100</v>
      </c>
      <c r="F4" s="8">
        <f>VLOOKUP(A4,'[1]5_CCTNS_TILL'!B:P,13,0)</f>
        <v>95.44</v>
      </c>
      <c r="G4" s="8">
        <f>VLOOKUP(A4,'[1]6_CCTNS_1_7'!B:P,13,0)</f>
        <v>100</v>
      </c>
      <c r="H4" s="8">
        <f>VLOOKUP(A4,'[1]7_CCTNS_8_15'!B:M,11,0)</f>
        <v>0</v>
      </c>
      <c r="I4" s="8">
        <f>VLOOKUP(A4,'[1]8_ZERO_FIRS'!B:H,6,0)</f>
        <v>100</v>
      </c>
      <c r="J4" s="8">
        <f>VLOOKUP(A4,'[1]9_CITIZEN_PORTAL'!B:H,6,0)</f>
        <v>100</v>
      </c>
      <c r="K4" s="8">
        <f>VLOOKUP(A4,'[1]10_ESAKSHYA'!B:L,6,0)</f>
        <v>43.369175627240146</v>
      </c>
      <c r="L4" s="8">
        <f>VLOOKUP(A4,'[1]11_CEIR'!B:L,10,0)</f>
        <v>0</v>
      </c>
      <c r="M4" s="8">
        <f>VLOOKUP(A4,'[1]12_EPROSEC'!B:H,4,0)</f>
        <v>100</v>
      </c>
      <c r="N4" s="8">
        <f>VLOOKUP(A4,'[1]13_FIR_CS_COURT'!B:L,11,0)</f>
        <v>72.285067873303177</v>
      </c>
      <c r="O4" s="8">
        <f>VLOOKUP(A4,'[1]14_EOFFICE'!B:K,9,0)</f>
        <v>0</v>
      </c>
      <c r="P4" s="8">
        <f>VLOOKUP(A4,'[1]15_APOLIS'!B:K,10,0)</f>
        <v>94.117647058823536</v>
      </c>
      <c r="Q4" s="8">
        <f>VLOOKUP(A4,'[1]16_APOLICE_FP'!B:H,5,0)</f>
        <v>0</v>
      </c>
      <c r="R4" s="8">
        <f>VLOOKUP(A4,'[1]17_EDAR'!B:F,4,0)</f>
        <v>100</v>
      </c>
      <c r="S4" s="8">
        <f>VLOOKUP(A4,'[1]18_CCTV_360'!B:S,17,0)</f>
        <v>100</v>
      </c>
      <c r="T4" s="8">
        <f>VLOOKUP(A4,'[1]19_NEWS360AI'!B:D,2,0)</f>
        <v>0</v>
      </c>
      <c r="U4" s="8">
        <f>VLOOKUP(A4,'[1]20_eFSL'!B:F,4,0)</f>
        <v>0</v>
      </c>
      <c r="V4" s="8">
        <f>VLOOKUP(A4,'[1]21_UC3'!B:D,2,0)</f>
        <v>0</v>
      </c>
      <c r="W4" s="8">
        <f>VLOOKUP(A4,'[1]22_UC4'!B:D,3,0)</f>
        <v>0</v>
      </c>
    </row>
    <row r="5" spans="1:23" s="9" customFormat="1" ht="26.15" customHeight="1" x14ac:dyDescent="0.35">
      <c r="A5" s="7" t="s">
        <v>26</v>
      </c>
      <c r="B5" s="8">
        <f>VLOOKUP(A5,'[1]1_MEDLEAPR_PME'!B:H,6,0)</f>
        <v>100</v>
      </c>
      <c r="C5" s="8">
        <f>VLOOKUP(A5,'[1]2_MEDLEAPR_MLC'!B:I,6,0)</f>
        <v>100</v>
      </c>
      <c r="D5" s="8">
        <f>VLOOKUP(A5,'[1]3_NATGRID'!B:H,6,0)</f>
        <v>0</v>
      </c>
      <c r="E5" s="8">
        <f>VLOOKUP(A5,'[1]4_DGP_DASH'!B:E,3,0)</f>
        <v>100</v>
      </c>
      <c r="F5" s="8">
        <f>VLOOKUP(A5,'[1]5_CCTNS_TILL'!B:P,13,0)</f>
        <v>84.23</v>
      </c>
      <c r="G5" s="8">
        <f>VLOOKUP(A5,'[1]6_CCTNS_1_7'!B:P,13,0)</f>
        <v>89.41</v>
      </c>
      <c r="H5" s="8">
        <f>VLOOKUP(A5,'[1]7_CCTNS_8_15'!B:M,11,0)</f>
        <v>0</v>
      </c>
      <c r="I5" s="8">
        <f>VLOOKUP(A5,'[1]8_ZERO_FIRS'!B:H,6,0)</f>
        <v>100</v>
      </c>
      <c r="J5" s="8">
        <f>VLOOKUP(A5,'[1]9_CITIZEN_PORTAL'!B:H,6,0)</f>
        <v>100</v>
      </c>
      <c r="K5" s="8">
        <f>VLOOKUP(A5,'[1]10_ESAKSHYA'!B:L,6,0)</f>
        <v>40.304709141274238</v>
      </c>
      <c r="L5" s="8">
        <f>VLOOKUP(A5,'[1]11_CEIR'!B:L,10,0)</f>
        <v>0</v>
      </c>
      <c r="M5" s="8">
        <f>VLOOKUP(A5,'[1]12_EPROSEC'!B:H,4,0)</f>
        <v>100</v>
      </c>
      <c r="N5" s="8">
        <f>VLOOKUP(A5,'[1]13_FIR_CS_COURT'!B:L,11,0)</f>
        <v>68.813939403859692</v>
      </c>
      <c r="O5" s="8">
        <f>VLOOKUP(A5,'[1]14_EOFFICE'!B:K,9,0)</f>
        <v>0</v>
      </c>
      <c r="P5" s="8">
        <f>VLOOKUP(A5,'[1]15_APOLIS'!B:K,10,0)</f>
        <v>97.5</v>
      </c>
      <c r="Q5" s="8">
        <f>VLOOKUP(A5,'[1]16_APOLICE_FP'!B:H,5,0)</f>
        <v>0</v>
      </c>
      <c r="R5" s="8">
        <f>VLOOKUP(A5,'[1]17_EDAR'!B:F,4,0)</f>
        <v>100</v>
      </c>
      <c r="S5" s="8">
        <f>VLOOKUP(A5,'[1]18_CCTV_360'!B:S,17,0)</f>
        <v>100</v>
      </c>
      <c r="T5" s="8">
        <f>VLOOKUP(A5,'[1]19_NEWS360AI'!B:D,2,0)</f>
        <v>0</v>
      </c>
      <c r="U5" s="8">
        <f>VLOOKUP(A5,'[1]20_eFSL'!B:F,4,0)</f>
        <v>100</v>
      </c>
      <c r="V5" s="8">
        <f>VLOOKUP(A5,'[1]21_UC3'!B:D,2,0)</f>
        <v>0</v>
      </c>
      <c r="W5" s="8">
        <f>VLOOKUP(A5,'[1]22_UC4'!B:D,3,0)</f>
        <v>0</v>
      </c>
    </row>
    <row r="6" spans="1:23" s="9" customFormat="1" ht="26.15" customHeight="1" x14ac:dyDescent="0.35">
      <c r="A6" s="7" t="s">
        <v>27</v>
      </c>
      <c r="B6" s="8" t="str">
        <f>VLOOKUP(A6,'[1]1_MEDLEAPR_PME'!B:H,6,0)</f>
        <v>100.00</v>
      </c>
      <c r="C6" s="8">
        <f>VLOOKUP(A6,'[1]2_MEDLEAPR_MLC'!B:I,6,0)</f>
        <v>100</v>
      </c>
      <c r="D6" s="8">
        <f>VLOOKUP(A6,'[1]3_NATGRID'!B:H,6,0)</f>
        <v>0</v>
      </c>
      <c r="E6" s="8">
        <f>VLOOKUP(A6,'[1]4_DGP_DASH'!B:E,3,0)</f>
        <v>100</v>
      </c>
      <c r="F6" s="8">
        <f>VLOOKUP(A6,'[1]5_CCTNS_TILL'!B:P,13,0)</f>
        <v>100</v>
      </c>
      <c r="G6" s="8">
        <f>VLOOKUP(A6,'[1]6_CCTNS_1_7'!B:P,13,0)</f>
        <v>83.82</v>
      </c>
      <c r="H6" s="8">
        <f>VLOOKUP(A6,'[1]7_CCTNS_8_15'!B:M,11,0)</f>
        <v>0</v>
      </c>
      <c r="I6" s="8">
        <f>VLOOKUP(A6,'[1]8_ZERO_FIRS'!B:H,6,0)</f>
        <v>100</v>
      </c>
      <c r="J6" s="8">
        <f>VLOOKUP(A6,'[1]9_CITIZEN_PORTAL'!B:H,6,0)</f>
        <v>100</v>
      </c>
      <c r="K6" s="8">
        <f>VLOOKUP(A6,'[1]10_ESAKSHYA'!B:L,6,0)</f>
        <v>63.090128755364809</v>
      </c>
      <c r="L6" s="8">
        <f>VLOOKUP(A6,'[1]11_CEIR'!B:L,10,0)</f>
        <v>0</v>
      </c>
      <c r="M6" s="8">
        <f>VLOOKUP(A6,'[1]12_EPROSEC'!B:H,4,0)</f>
        <v>100</v>
      </c>
      <c r="N6" s="8">
        <f>VLOOKUP(A6,'[1]13_FIR_CS_COURT'!B:L,11,0)</f>
        <v>75.545762566477947</v>
      </c>
      <c r="O6" s="8">
        <f>VLOOKUP(A6,'[1]14_EOFFICE'!B:K,9,0)</f>
        <v>0</v>
      </c>
      <c r="P6" s="8">
        <f>VLOOKUP(A6,'[1]15_APOLIS'!B:K,10,0)</f>
        <v>91.666666666666657</v>
      </c>
      <c r="Q6" s="8">
        <f>VLOOKUP(A6,'[1]16_APOLICE_FP'!B:H,5,0)</f>
        <v>0</v>
      </c>
      <c r="R6" s="8">
        <f>VLOOKUP(A6,'[1]17_EDAR'!B:F,4,0)</f>
        <v>100</v>
      </c>
      <c r="S6" s="8">
        <f>VLOOKUP(A6,'[1]18_CCTV_360'!B:S,17,0)</f>
        <v>100</v>
      </c>
      <c r="T6" s="8">
        <f>VLOOKUP(A6,'[1]19_NEWS360AI'!B:D,2,0)</f>
        <v>0</v>
      </c>
      <c r="U6" s="8">
        <f>VLOOKUP(A6,'[1]20_eFSL'!B:F,4,0)</f>
        <v>100</v>
      </c>
      <c r="V6" s="8">
        <f>VLOOKUP(A6,'[1]21_UC3'!B:D,2,0)</f>
        <v>0</v>
      </c>
      <c r="W6" s="8">
        <f>VLOOKUP(A6,'[1]22_UC4'!B:D,3,0)</f>
        <v>0</v>
      </c>
    </row>
    <row r="7" spans="1:23" s="9" customFormat="1" ht="26.15" customHeight="1" x14ac:dyDescent="0.35">
      <c r="A7" s="7" t="s">
        <v>28</v>
      </c>
      <c r="B7" s="8" t="str">
        <f>VLOOKUP(A7,'[1]1_MEDLEAPR_PME'!B:H,6,0)</f>
        <v>100.00</v>
      </c>
      <c r="C7" s="8">
        <f>VLOOKUP(A7,'[1]2_MEDLEAPR_MLC'!B:I,6,0)</f>
        <v>100</v>
      </c>
      <c r="D7" s="8">
        <f>VLOOKUP(A7,'[1]3_NATGRID'!B:H,6,0)</f>
        <v>0</v>
      </c>
      <c r="E7" s="8">
        <f>VLOOKUP(A7,'[1]4_DGP_DASH'!B:E,3,0)</f>
        <v>100</v>
      </c>
      <c r="F7" s="8">
        <f>VLOOKUP(A7,'[1]5_CCTNS_TILL'!B:P,13,0)</f>
        <v>94.79</v>
      </c>
      <c r="G7" s="8">
        <f>VLOOKUP(A7,'[1]6_CCTNS_1_7'!B:P,13,0)</f>
        <v>100</v>
      </c>
      <c r="H7" s="8">
        <f>VLOOKUP(A7,'[1]7_CCTNS_8_15'!B:M,11,0)</f>
        <v>0</v>
      </c>
      <c r="I7" s="8">
        <f>VLOOKUP(A7,'[1]8_ZERO_FIRS'!B:H,6,0)</f>
        <v>100</v>
      </c>
      <c r="J7" s="8">
        <f>VLOOKUP(A7,'[1]9_CITIZEN_PORTAL'!B:H,6,0)</f>
        <v>100</v>
      </c>
      <c r="K7" s="8">
        <f>VLOOKUP(A7,'[1]10_ESAKSHYA'!B:L,6,0)</f>
        <v>57.457627118644069</v>
      </c>
      <c r="L7" s="8">
        <f>VLOOKUP(A7,'[1]11_CEIR'!B:L,10,0)</f>
        <v>0</v>
      </c>
      <c r="M7" s="8">
        <f>VLOOKUP(A7,'[1]12_EPROSEC'!B:H,4,0)</f>
        <v>50</v>
      </c>
      <c r="N7" s="8">
        <f>VLOOKUP(A7,'[1]13_FIR_CS_COURT'!B:L,11,0)</f>
        <v>81.445940078158927</v>
      </c>
      <c r="O7" s="8">
        <f>VLOOKUP(A7,'[1]14_EOFFICE'!B:K,9,0)</f>
        <v>0</v>
      </c>
      <c r="P7" s="8">
        <f>VLOOKUP(A7,'[1]15_APOLIS'!B:K,10,0)</f>
        <v>97.058823529411768</v>
      </c>
      <c r="Q7" s="8">
        <f>VLOOKUP(A7,'[1]16_APOLICE_FP'!B:H,5,0)</f>
        <v>0</v>
      </c>
      <c r="R7" s="8">
        <f>VLOOKUP(A7,'[1]17_EDAR'!B:F,4,0)</f>
        <v>100</v>
      </c>
      <c r="S7" s="8">
        <f>VLOOKUP(A7,'[1]18_CCTV_360'!B:S,17,0)</f>
        <v>42.857142857142854</v>
      </c>
      <c r="T7" s="8">
        <f>VLOOKUP(A7,'[1]19_NEWS360AI'!B:D,2,0)</f>
        <v>0</v>
      </c>
      <c r="U7" s="8">
        <f>VLOOKUP(A7,'[1]20_eFSL'!B:F,4,0)</f>
        <v>100</v>
      </c>
      <c r="V7" s="8">
        <f>VLOOKUP(A7,'[1]21_UC3'!B:D,2,0)</f>
        <v>0</v>
      </c>
      <c r="W7" s="8">
        <f>VLOOKUP(A7,'[1]22_UC4'!B:D,3,0)</f>
        <v>0</v>
      </c>
    </row>
    <row r="8" spans="1:23" s="9" customFormat="1" ht="26.15" customHeight="1" x14ac:dyDescent="0.35">
      <c r="A8" s="7" t="s">
        <v>29</v>
      </c>
      <c r="B8" s="8">
        <f>VLOOKUP(A8,'[1]1_MEDLEAPR_PME'!B:H,6,0)</f>
        <v>100</v>
      </c>
      <c r="C8" s="8">
        <f>VLOOKUP(A8,'[1]2_MEDLEAPR_MLC'!B:I,6,0)</f>
        <v>100</v>
      </c>
      <c r="D8" s="8">
        <f>VLOOKUP(A8,'[1]3_NATGRID'!B:H,6,0)</f>
        <v>0</v>
      </c>
      <c r="E8" s="8">
        <f>VLOOKUP(A8,'[1]4_DGP_DASH'!B:E,3,0)</f>
        <v>100</v>
      </c>
      <c r="F8" s="8">
        <f>VLOOKUP(A8,'[1]5_CCTNS_TILL'!B:P,13,0)</f>
        <v>88.25</v>
      </c>
      <c r="G8" s="8">
        <f>VLOOKUP(A8,'[1]6_CCTNS_1_7'!B:P,13,0)</f>
        <v>74.510000000000005</v>
      </c>
      <c r="H8" s="8">
        <f>VLOOKUP(A8,'[1]7_CCTNS_8_15'!B:M,11,0)</f>
        <v>0</v>
      </c>
      <c r="I8" s="8">
        <f>VLOOKUP(A8,'[1]8_ZERO_FIRS'!B:H,6,0)</f>
        <v>100</v>
      </c>
      <c r="J8" s="8">
        <f>VLOOKUP(A8,'[1]9_CITIZEN_PORTAL'!B:H,6,0)</f>
        <v>100</v>
      </c>
      <c r="K8" s="8">
        <f>VLOOKUP(A8,'[1]10_ESAKSHYA'!B:L,6,0)</f>
        <v>94.929577464788736</v>
      </c>
      <c r="L8" s="8">
        <f>VLOOKUP(A8,'[1]11_CEIR'!B:L,10,0)</f>
        <v>0</v>
      </c>
      <c r="M8" s="8">
        <f>VLOOKUP(A8,'[1]12_EPROSEC'!B:H,4,0)</f>
        <v>33.333333333333336</v>
      </c>
      <c r="N8" s="8">
        <f>VLOOKUP(A8,'[1]13_FIR_CS_COURT'!B:L,11,0)</f>
        <v>84.037131416090276</v>
      </c>
      <c r="O8" s="8">
        <f>VLOOKUP(A8,'[1]14_EOFFICE'!B:K,9,0)</f>
        <v>0</v>
      </c>
      <c r="P8" s="8">
        <f>VLOOKUP(A8,'[1]15_APOLIS'!B:K,10,0)</f>
        <v>95</v>
      </c>
      <c r="Q8" s="8">
        <f>VLOOKUP(A8,'[1]16_APOLICE_FP'!B:H,5,0)</f>
        <v>0</v>
      </c>
      <c r="R8" s="8">
        <f>VLOOKUP(A8,'[1]17_EDAR'!B:F,4,0)</f>
        <v>100</v>
      </c>
      <c r="S8" s="8">
        <f>VLOOKUP(A8,'[1]18_CCTV_360'!B:S,17,0)</f>
        <v>57.142857142857139</v>
      </c>
      <c r="T8" s="8">
        <f>VLOOKUP(A8,'[1]19_NEWS360AI'!B:D,2,0)</f>
        <v>0</v>
      </c>
      <c r="U8" s="8">
        <f>VLOOKUP(A8,'[1]20_eFSL'!B:F,4,0)</f>
        <v>0</v>
      </c>
      <c r="V8" s="8">
        <f>VLOOKUP(A8,'[1]21_UC3'!B:D,2,0)</f>
        <v>0</v>
      </c>
      <c r="W8" s="8">
        <f>VLOOKUP(A8,'[1]22_UC4'!B:D,3,0)</f>
        <v>0</v>
      </c>
    </row>
    <row r="9" spans="1:23" s="9" customFormat="1" ht="26.15" customHeight="1" x14ac:dyDescent="0.35">
      <c r="A9" s="7" t="s">
        <v>30</v>
      </c>
      <c r="B9" s="8" t="str">
        <f>VLOOKUP(A9,'[1]1_MEDLEAPR_PME'!B:H,6,0)</f>
        <v>100.00</v>
      </c>
      <c r="C9" s="8" t="str">
        <f>VLOOKUP(A9,'[1]2_MEDLEAPR_MLC'!B:I,6,0)</f>
        <v>100.00</v>
      </c>
      <c r="D9" s="8">
        <f>VLOOKUP(A9,'[1]3_NATGRID'!B:H,6,0)</f>
        <v>0</v>
      </c>
      <c r="E9" s="8">
        <f>VLOOKUP(A9,'[1]4_DGP_DASH'!B:E,3,0)</f>
        <v>100</v>
      </c>
      <c r="F9" s="8">
        <f>VLOOKUP(A9,'[1]5_CCTNS_TILL'!B:P,13,0)</f>
        <v>100</v>
      </c>
      <c r="G9" s="8">
        <f>VLOOKUP(A9,'[1]6_CCTNS_1_7'!B:P,13,0)</f>
        <v>100</v>
      </c>
      <c r="H9" s="8">
        <f>VLOOKUP(A9,'[1]7_CCTNS_8_15'!B:M,11,0)</f>
        <v>0</v>
      </c>
      <c r="I9" s="8">
        <f>VLOOKUP(A9,'[1]8_ZERO_FIRS'!B:H,6,0)</f>
        <v>100</v>
      </c>
      <c r="J9" s="8">
        <f>VLOOKUP(A9,'[1]9_CITIZEN_PORTAL'!B:H,6,0)</f>
        <v>100</v>
      </c>
      <c r="K9" s="8">
        <f>VLOOKUP(A9,'[1]10_ESAKSHYA'!B:L,6,0)</f>
        <v>96.860986547085204</v>
      </c>
      <c r="L9" s="8">
        <f>VLOOKUP(A9,'[1]11_CEIR'!B:L,10,0)</f>
        <v>0</v>
      </c>
      <c r="M9" s="8">
        <f>VLOOKUP(A9,'[1]12_EPROSEC'!B:H,4,0)</f>
        <v>0</v>
      </c>
      <c r="N9" s="8">
        <f>VLOOKUP(A9,'[1]13_FIR_CS_COURT'!B:L,11,0)</f>
        <v>82.74385703648548</v>
      </c>
      <c r="O9" s="8">
        <f>VLOOKUP(A9,'[1]14_EOFFICE'!B:K,9,0)</f>
        <v>0</v>
      </c>
      <c r="P9" s="8">
        <f>VLOOKUP(A9,'[1]15_APOLIS'!B:K,10,0)</f>
        <v>94.444444444444443</v>
      </c>
      <c r="Q9" s="8">
        <f>VLOOKUP(A9,'[1]16_APOLICE_FP'!B:H,5,0)</f>
        <v>0</v>
      </c>
      <c r="R9" s="8">
        <f>VLOOKUP(A9,'[1]17_EDAR'!B:F,4,0)</f>
        <v>100</v>
      </c>
      <c r="S9" s="8">
        <f>VLOOKUP(A9,'[1]18_CCTV_360'!B:S,17,0)</f>
        <v>35.714285714285715</v>
      </c>
      <c r="T9" s="8">
        <f>VLOOKUP(A9,'[1]19_NEWS360AI'!B:D,2,0)</f>
        <v>0</v>
      </c>
      <c r="U9" s="8">
        <f>VLOOKUP(A9,'[1]20_eFSL'!B:F,4,0)</f>
        <v>100</v>
      </c>
      <c r="V9" s="8">
        <f>VLOOKUP(A9,'[1]21_UC3'!B:D,2,0)</f>
        <v>0</v>
      </c>
      <c r="W9" s="8">
        <f>VLOOKUP(A9,'[1]22_UC4'!B:D,3,0)</f>
        <v>0</v>
      </c>
    </row>
    <row r="10" spans="1:23" s="9" customFormat="1" ht="26.15" customHeight="1" x14ac:dyDescent="0.35">
      <c r="A10" s="7" t="s">
        <v>31</v>
      </c>
      <c r="B10" s="8" t="str">
        <f>VLOOKUP(A10,'[1]1_MEDLEAPR_PME'!B:H,6,0)</f>
        <v>100.00</v>
      </c>
      <c r="C10" s="8" t="str">
        <f>VLOOKUP(A10,'[1]2_MEDLEAPR_MLC'!B:I,6,0)</f>
        <v>100.00</v>
      </c>
      <c r="D10" s="8">
        <f>VLOOKUP(A10,'[1]3_NATGRID'!B:H,6,0)</f>
        <v>0</v>
      </c>
      <c r="E10" s="8">
        <f>VLOOKUP(A10,'[1]4_DGP_DASH'!B:E,3,0)</f>
        <v>100</v>
      </c>
      <c r="F10" s="8">
        <f>VLOOKUP(A10,'[1]5_CCTNS_TILL'!B:P,13,0)</f>
        <v>92.71</v>
      </c>
      <c r="G10" s="8">
        <f>VLOOKUP(A10,'[1]6_CCTNS_1_7'!B:P,13,0)</f>
        <v>87.82</v>
      </c>
      <c r="H10" s="8">
        <f>VLOOKUP(A10,'[1]7_CCTNS_8_15'!B:M,11,0)</f>
        <v>0</v>
      </c>
      <c r="I10" s="8">
        <f>VLOOKUP(A10,'[1]8_ZERO_FIRS'!B:H,6,0)</f>
        <v>100</v>
      </c>
      <c r="J10" s="8">
        <f>VLOOKUP(A10,'[1]9_CITIZEN_PORTAL'!B:H,6,0)</f>
        <v>100</v>
      </c>
      <c r="K10" s="8">
        <f>VLOOKUP(A10,'[1]10_ESAKSHYA'!B:L,6,0)</f>
        <v>70.104633781763823</v>
      </c>
      <c r="L10" s="8">
        <f>VLOOKUP(A10,'[1]11_CEIR'!B:L,10,0)</f>
        <v>0</v>
      </c>
      <c r="M10" s="8">
        <f>VLOOKUP(A10,'[1]12_EPROSEC'!B:H,4,0)</f>
        <v>100</v>
      </c>
      <c r="N10" s="8">
        <f>VLOOKUP(A10,'[1]13_FIR_CS_COURT'!B:L,11,0)</f>
        <v>82.956451612903223</v>
      </c>
      <c r="O10" s="8">
        <f>VLOOKUP(A10,'[1]14_EOFFICE'!B:K,9,0)</f>
        <v>0</v>
      </c>
      <c r="P10" s="8">
        <f>VLOOKUP(A10,'[1]15_APOLIS'!B:K,10,0)</f>
        <v>97.5</v>
      </c>
      <c r="Q10" s="8">
        <f>VLOOKUP(A10,'[1]16_APOLICE_FP'!B:H,5,0)</f>
        <v>0</v>
      </c>
      <c r="R10" s="8">
        <f>VLOOKUP(A10,'[1]17_EDAR'!B:F,4,0)</f>
        <v>100</v>
      </c>
      <c r="S10" s="8">
        <f>VLOOKUP(A10,'[1]18_CCTV_360'!B:S,17,0)</f>
        <v>100</v>
      </c>
      <c r="T10" s="8">
        <f>VLOOKUP(A10,'[1]19_NEWS360AI'!B:D,2,0)</f>
        <v>0</v>
      </c>
      <c r="U10" s="8">
        <f>VLOOKUP(A10,'[1]20_eFSL'!B:F,4,0)</f>
        <v>100</v>
      </c>
      <c r="V10" s="8">
        <f>VLOOKUP(A10,'[1]21_UC3'!B:D,2,0)</f>
        <v>0</v>
      </c>
      <c r="W10" s="8">
        <f>VLOOKUP(A10,'[1]22_UC4'!B:D,3,0)</f>
        <v>0</v>
      </c>
    </row>
    <row r="11" spans="1:23" s="9" customFormat="1" ht="26.15" customHeight="1" x14ac:dyDescent="0.35">
      <c r="A11" s="7" t="s">
        <v>32</v>
      </c>
      <c r="B11" s="8">
        <f>VLOOKUP(A11,'[1]1_MEDLEAPR_PME'!B:H,6,0)</f>
        <v>100</v>
      </c>
      <c r="C11" s="8" t="str">
        <f>VLOOKUP(A11,'[1]2_MEDLEAPR_MLC'!B:I,6,0)</f>
        <v>100.00</v>
      </c>
      <c r="D11" s="8">
        <f>VLOOKUP(A11,'[1]3_NATGRID'!B:H,6,0)</f>
        <v>0</v>
      </c>
      <c r="E11" s="8">
        <f>VLOOKUP(A11,'[1]4_DGP_DASH'!B:E,3,0)</f>
        <v>100</v>
      </c>
      <c r="F11" s="8">
        <f>VLOOKUP(A11,'[1]5_CCTNS_TILL'!B:P,13,0)</f>
        <v>86.52</v>
      </c>
      <c r="G11" s="8">
        <f>VLOOKUP(A11,'[1]6_CCTNS_1_7'!B:P,13,0)</f>
        <v>100</v>
      </c>
      <c r="H11" s="8">
        <f>VLOOKUP(A11,'[1]7_CCTNS_8_15'!B:M,11,0)</f>
        <v>0</v>
      </c>
      <c r="I11" s="8">
        <f>VLOOKUP(A11,'[1]8_ZERO_FIRS'!B:H,6,0)</f>
        <v>100</v>
      </c>
      <c r="J11" s="8">
        <f>VLOOKUP(A11,'[1]9_CITIZEN_PORTAL'!B:H,6,0)</f>
        <v>100</v>
      </c>
      <c r="K11" s="8">
        <f>VLOOKUP(A11,'[1]10_ESAKSHYA'!B:L,6,0)</f>
        <v>84.166666666666671</v>
      </c>
      <c r="L11" s="8">
        <f>VLOOKUP(A11,'[1]11_CEIR'!B:L,10,0)</f>
        <v>0</v>
      </c>
      <c r="M11" s="8">
        <f>VLOOKUP(A11,'[1]12_EPROSEC'!B:H,4,0)</f>
        <v>100</v>
      </c>
      <c r="N11" s="8">
        <f>VLOOKUP(A11,'[1]13_FIR_CS_COURT'!B:L,11,0)</f>
        <v>77.562253264500455</v>
      </c>
      <c r="O11" s="8">
        <f>VLOOKUP(A11,'[1]14_EOFFICE'!B:K,9,0)</f>
        <v>0</v>
      </c>
      <c r="P11" s="8">
        <f>VLOOKUP(A11,'[1]15_APOLIS'!B:K,10,0)</f>
        <v>95</v>
      </c>
      <c r="Q11" s="8">
        <f>VLOOKUP(A11,'[1]16_APOLICE_FP'!B:H,5,0)</f>
        <v>0</v>
      </c>
      <c r="R11" s="8">
        <f>VLOOKUP(A11,'[1]17_EDAR'!B:F,4,0)</f>
        <v>100</v>
      </c>
      <c r="S11" s="8">
        <f>VLOOKUP(A11,'[1]18_CCTV_360'!B:S,17,0)</f>
        <v>64.285714285714292</v>
      </c>
      <c r="T11" s="8">
        <f>VLOOKUP(A11,'[1]19_NEWS360AI'!B:D,2,0)</f>
        <v>0</v>
      </c>
      <c r="U11" s="8">
        <f>VLOOKUP(A11,'[1]20_eFSL'!B:F,4,0)</f>
        <v>0</v>
      </c>
      <c r="V11" s="8">
        <f>VLOOKUP(A11,'[1]21_UC3'!B:D,2,0)</f>
        <v>0</v>
      </c>
      <c r="W11" s="8">
        <f>VLOOKUP(A11,'[1]22_UC4'!B:D,3,0)</f>
        <v>0</v>
      </c>
    </row>
    <row r="12" spans="1:23" s="9" customFormat="1" ht="26.15" customHeight="1" x14ac:dyDescent="0.35">
      <c r="A12" s="7" t="s">
        <v>33</v>
      </c>
      <c r="B12" s="8" t="str">
        <f>VLOOKUP(A12,'[1]1_MEDLEAPR_PME'!B:H,6,0)</f>
        <v>100.00</v>
      </c>
      <c r="C12" s="8" t="str">
        <f>VLOOKUP(A12,'[1]2_MEDLEAPR_MLC'!B:I,6,0)</f>
        <v>100.00</v>
      </c>
      <c r="D12" s="8">
        <f>VLOOKUP(A12,'[1]3_NATGRID'!B:H,6,0)</f>
        <v>0</v>
      </c>
      <c r="E12" s="8">
        <f>VLOOKUP(A12,'[1]4_DGP_DASH'!B:E,3,0)</f>
        <v>100</v>
      </c>
      <c r="F12" s="8">
        <f>VLOOKUP(A12,'[1]5_CCTNS_TILL'!B:P,13,0)</f>
        <v>100</v>
      </c>
      <c r="G12" s="8">
        <f>VLOOKUP(A12,'[1]6_CCTNS_1_7'!B:P,13,0)</f>
        <v>100</v>
      </c>
      <c r="H12" s="8">
        <f>VLOOKUP(A12,'[1]7_CCTNS_8_15'!B:M,11,0)</f>
        <v>0</v>
      </c>
      <c r="I12" s="8">
        <f>VLOOKUP(A12,'[1]8_ZERO_FIRS'!B:H,6,0)</f>
        <v>100</v>
      </c>
      <c r="J12" s="8">
        <f>VLOOKUP(A12,'[1]9_CITIZEN_PORTAL'!B:H,6,0)</f>
        <v>100</v>
      </c>
      <c r="K12" s="8">
        <f>VLOOKUP(A12,'[1]10_ESAKSHYA'!B:L,6,0)</f>
        <v>65.660377358490564</v>
      </c>
      <c r="L12" s="8">
        <f>VLOOKUP(A12,'[1]11_CEIR'!B:L,10,0)</f>
        <v>0</v>
      </c>
      <c r="M12" s="8">
        <f>VLOOKUP(A12,'[1]12_EPROSEC'!B:H,4,0)</f>
        <v>100</v>
      </c>
      <c r="N12" s="8">
        <f>VLOOKUP(A12,'[1]13_FIR_CS_COURT'!B:L,11,0)</f>
        <v>77.240249098656165</v>
      </c>
      <c r="O12" s="8">
        <f>VLOOKUP(A12,'[1]14_EOFFICE'!B:K,9,0)</f>
        <v>0</v>
      </c>
      <c r="P12" s="8">
        <f>VLOOKUP(A12,'[1]15_APOLIS'!B:K,10,0)</f>
        <v>95</v>
      </c>
      <c r="Q12" s="8">
        <f>VLOOKUP(A12,'[1]16_APOLICE_FP'!B:H,5,0)</f>
        <v>0</v>
      </c>
      <c r="R12" s="8">
        <f>VLOOKUP(A12,'[1]17_EDAR'!B:F,4,0)</f>
        <v>100</v>
      </c>
      <c r="S12" s="8">
        <f>VLOOKUP(A12,'[1]18_CCTV_360'!B:S,17,0)</f>
        <v>100</v>
      </c>
      <c r="T12" s="8">
        <f>VLOOKUP(A12,'[1]19_NEWS360AI'!B:D,2,0)</f>
        <v>0</v>
      </c>
      <c r="U12" s="8">
        <f>VLOOKUP(A12,'[1]20_eFSL'!B:F,4,0)</f>
        <v>100</v>
      </c>
      <c r="V12" s="8">
        <f>VLOOKUP(A12,'[1]21_UC3'!B:D,2,0)</f>
        <v>0</v>
      </c>
      <c r="W12" s="8">
        <f>VLOOKUP(A12,'[1]22_UC4'!B:D,3,0)</f>
        <v>0</v>
      </c>
    </row>
    <row r="13" spans="1:23" s="9" customFormat="1" ht="26.15" customHeight="1" x14ac:dyDescent="0.35">
      <c r="A13" s="7" t="s">
        <v>34</v>
      </c>
      <c r="B13" s="8" t="str">
        <f>VLOOKUP(A13,'[1]1_MEDLEAPR_PME'!B:H,6,0)</f>
        <v>100.00</v>
      </c>
      <c r="C13" s="8" t="str">
        <f>VLOOKUP(A13,'[1]2_MEDLEAPR_MLC'!B:I,6,0)</f>
        <v>100.00</v>
      </c>
      <c r="D13" s="8">
        <f>VLOOKUP(A13,'[1]3_NATGRID'!B:H,6,0)</f>
        <v>0</v>
      </c>
      <c r="E13" s="8">
        <f>VLOOKUP(A13,'[1]4_DGP_DASH'!B:E,3,0)</f>
        <v>100</v>
      </c>
      <c r="F13" s="8">
        <f>VLOOKUP(A13,'[1]5_CCTNS_TILL'!B:P,13,0)</f>
        <v>87.7</v>
      </c>
      <c r="G13" s="8">
        <f>VLOOKUP(A13,'[1]6_CCTNS_1_7'!B:P,13,0)</f>
        <v>100</v>
      </c>
      <c r="H13" s="8">
        <f>VLOOKUP(A13,'[1]7_CCTNS_8_15'!B:M,11,0)</f>
        <v>0</v>
      </c>
      <c r="I13" s="8">
        <f>VLOOKUP(A13,'[1]8_ZERO_FIRS'!B:H,6,0)</f>
        <v>100</v>
      </c>
      <c r="J13" s="8">
        <f>VLOOKUP(A13,'[1]9_CITIZEN_PORTAL'!B:H,6,0)</f>
        <v>100</v>
      </c>
      <c r="K13" s="8">
        <f>VLOOKUP(A13,'[1]10_ESAKSHYA'!B:L,6,0)</f>
        <v>88.39779005524862</v>
      </c>
      <c r="L13" s="8">
        <f>VLOOKUP(A13,'[1]11_CEIR'!B:L,10,0)</f>
        <v>0</v>
      </c>
      <c r="M13" s="8">
        <f>VLOOKUP(A13,'[1]12_EPROSEC'!B:H,4,0)</f>
        <v>33.333333333333336</v>
      </c>
      <c r="N13" s="8">
        <f>VLOOKUP(A13,'[1]13_FIR_CS_COURT'!B:L,11,0)</f>
        <v>82.106537530266337</v>
      </c>
      <c r="O13" s="8">
        <f>VLOOKUP(A13,'[1]14_EOFFICE'!B:K,9,0)</f>
        <v>0</v>
      </c>
      <c r="P13" s="8">
        <f>VLOOKUP(A13,'[1]15_APOLIS'!B:K,10,0)</f>
        <v>93.75</v>
      </c>
      <c r="Q13" s="8">
        <f>VLOOKUP(A13,'[1]16_APOLICE_FP'!B:H,5,0)</f>
        <v>0</v>
      </c>
      <c r="R13" s="8">
        <f>VLOOKUP(A13,'[1]17_EDAR'!B:F,4,0)</f>
        <v>100</v>
      </c>
      <c r="S13" s="8">
        <f>VLOOKUP(A13,'[1]18_CCTV_360'!B:S,17,0)</f>
        <v>50</v>
      </c>
      <c r="T13" s="8">
        <f>VLOOKUP(A13,'[1]19_NEWS360AI'!B:D,2,0)</f>
        <v>0</v>
      </c>
      <c r="U13" s="8">
        <f>VLOOKUP(A13,'[1]20_eFSL'!B:F,4,0)</f>
        <v>100</v>
      </c>
      <c r="V13" s="8">
        <f>VLOOKUP(A13,'[1]21_UC3'!B:D,2,0)</f>
        <v>0</v>
      </c>
      <c r="W13" s="8">
        <f>VLOOKUP(A13,'[1]22_UC4'!B:D,3,0)</f>
        <v>0</v>
      </c>
    </row>
    <row r="14" spans="1:23" s="9" customFormat="1" ht="26.15" customHeight="1" x14ac:dyDescent="0.35">
      <c r="A14" s="7" t="s">
        <v>35</v>
      </c>
      <c r="B14" s="8" t="str">
        <f>VLOOKUP(A14,'[1]1_MEDLEAPR_PME'!B:H,6,0)</f>
        <v>100.00</v>
      </c>
      <c r="C14" s="8" t="str">
        <f>VLOOKUP(A14,'[1]2_MEDLEAPR_MLC'!B:I,6,0)</f>
        <v>100.00</v>
      </c>
      <c r="D14" s="8">
        <f>VLOOKUP(A14,'[1]3_NATGRID'!B:H,6,0)</f>
        <v>0</v>
      </c>
      <c r="E14" s="8">
        <f>VLOOKUP(A14,'[1]4_DGP_DASH'!B:E,3,0)</f>
        <v>100</v>
      </c>
      <c r="F14" s="8">
        <f>VLOOKUP(A14,'[1]5_CCTNS_TILL'!B:P,13,0)</f>
        <v>99.85</v>
      </c>
      <c r="G14" s="8">
        <f>VLOOKUP(A14,'[1]6_CCTNS_1_7'!B:P,13,0)</f>
        <v>69.849999999999994</v>
      </c>
      <c r="H14" s="8">
        <f>VLOOKUP(A14,'[1]7_CCTNS_8_15'!B:M,11,0)</f>
        <v>0</v>
      </c>
      <c r="I14" s="8">
        <f>VLOOKUP(A14,'[1]8_ZERO_FIRS'!B:H,6,0)</f>
        <v>100</v>
      </c>
      <c r="J14" s="8">
        <f>VLOOKUP(A14,'[1]9_CITIZEN_PORTAL'!B:H,6,0)</f>
        <v>100</v>
      </c>
      <c r="K14" s="8">
        <f>VLOOKUP(A14,'[1]10_ESAKSHYA'!B:L,6,0)</f>
        <v>71.96652719665272</v>
      </c>
      <c r="L14" s="8">
        <f>VLOOKUP(A14,'[1]11_CEIR'!B:L,10,0)</f>
        <v>0</v>
      </c>
      <c r="M14" s="8">
        <f>VLOOKUP(A14,'[1]12_EPROSEC'!B:H,4,0)</f>
        <v>100</v>
      </c>
      <c r="N14" s="8">
        <f>VLOOKUP(A14,'[1]13_FIR_CS_COURT'!B:L,11,0)</f>
        <v>78.172043010752688</v>
      </c>
      <c r="O14" s="8">
        <f>VLOOKUP(A14,'[1]14_EOFFICE'!B:K,9,0)</f>
        <v>0</v>
      </c>
      <c r="P14" s="8">
        <f>VLOOKUP(A14,'[1]15_APOLIS'!B:K,10,0)</f>
        <v>95</v>
      </c>
      <c r="Q14" s="8">
        <f>VLOOKUP(A14,'[1]16_APOLICE_FP'!B:H,5,0)</f>
        <v>0</v>
      </c>
      <c r="R14" s="8">
        <f>VLOOKUP(A14,'[1]17_EDAR'!B:F,4,0)</f>
        <v>100</v>
      </c>
      <c r="S14" s="8">
        <f>VLOOKUP(A14,'[1]18_CCTV_360'!B:S,17,0)</f>
        <v>42.857142857142854</v>
      </c>
      <c r="T14" s="8">
        <f>VLOOKUP(A14,'[1]19_NEWS360AI'!B:D,2,0)</f>
        <v>0</v>
      </c>
      <c r="U14" s="8">
        <f>VLOOKUP(A14,'[1]20_eFSL'!B:F,4,0)</f>
        <v>0</v>
      </c>
      <c r="V14" s="8">
        <f>VLOOKUP(A14,'[1]21_UC3'!B:D,2,0)</f>
        <v>0</v>
      </c>
      <c r="W14" s="8">
        <f>VLOOKUP(A14,'[1]22_UC4'!B:D,3,0)</f>
        <v>0</v>
      </c>
    </row>
    <row r="15" spans="1:23" s="9" customFormat="1" ht="26.15" customHeight="1" x14ac:dyDescent="0.35">
      <c r="A15" s="7" t="s">
        <v>36</v>
      </c>
      <c r="B15" s="8">
        <f>VLOOKUP(A15,'[1]1_MEDLEAPR_PME'!B:H,6,0)</f>
        <v>100</v>
      </c>
      <c r="C15" s="8">
        <f>VLOOKUP(A15,'[1]2_MEDLEAPR_MLC'!B:I,6,0)</f>
        <v>100</v>
      </c>
      <c r="D15" s="8">
        <f>VLOOKUP(A15,'[1]3_NATGRID'!B:H,6,0)</f>
        <v>0</v>
      </c>
      <c r="E15" s="8">
        <f>VLOOKUP(A15,'[1]4_DGP_DASH'!B:E,3,0)</f>
        <v>100</v>
      </c>
      <c r="F15" s="8">
        <f>VLOOKUP(A15,'[1]5_CCTNS_TILL'!B:P,13,0)</f>
        <v>100</v>
      </c>
      <c r="G15" s="8">
        <f>VLOOKUP(A15,'[1]6_CCTNS_1_7'!B:P,13,0)</f>
        <v>100</v>
      </c>
      <c r="H15" s="8">
        <f>VLOOKUP(A15,'[1]7_CCTNS_8_15'!B:M,11,0)</f>
        <v>0</v>
      </c>
      <c r="I15" s="8">
        <f>VLOOKUP(A15,'[1]8_ZERO_FIRS'!B:H,6,0)</f>
        <v>100</v>
      </c>
      <c r="J15" s="8">
        <f>VLOOKUP(A15,'[1]9_CITIZEN_PORTAL'!B:H,6,0)</f>
        <v>100</v>
      </c>
      <c r="K15" s="8">
        <f>VLOOKUP(A15,'[1]10_ESAKSHYA'!B:L,6,0)</f>
        <v>60.869565217391305</v>
      </c>
      <c r="L15" s="8">
        <f>VLOOKUP(A15,'[1]11_CEIR'!B:L,10,0)</f>
        <v>0</v>
      </c>
      <c r="M15" s="8">
        <f>VLOOKUP(A15,'[1]12_EPROSEC'!B:H,4,0)</f>
        <v>66.666666666666671</v>
      </c>
      <c r="N15" s="8">
        <f>VLOOKUP(A15,'[1]13_FIR_CS_COURT'!B:L,11,0)</f>
        <v>69.276889841521665</v>
      </c>
      <c r="O15" s="8">
        <f>VLOOKUP(A15,'[1]14_EOFFICE'!B:K,9,0)</f>
        <v>0</v>
      </c>
      <c r="P15" s="8">
        <f>VLOOKUP(A15,'[1]15_APOLIS'!B:K,10,0)</f>
        <v>97.5</v>
      </c>
      <c r="Q15" s="8">
        <f>VLOOKUP(A15,'[1]16_APOLICE_FP'!B:H,5,0)</f>
        <v>0</v>
      </c>
      <c r="R15" s="8">
        <f>VLOOKUP(A15,'[1]17_EDAR'!B:F,4,0)</f>
        <v>100</v>
      </c>
      <c r="S15" s="8">
        <f>VLOOKUP(A15,'[1]18_CCTV_360'!B:S,17,0)</f>
        <v>100</v>
      </c>
      <c r="T15" s="8">
        <f>VLOOKUP(A15,'[1]19_NEWS360AI'!B:D,2,0)</f>
        <v>0</v>
      </c>
      <c r="U15" s="8">
        <f>VLOOKUP(A15,'[1]20_eFSL'!B:F,4,0)</f>
        <v>100</v>
      </c>
      <c r="V15" s="8">
        <f>VLOOKUP(A15,'[1]21_UC3'!B:D,2,0)</f>
        <v>0</v>
      </c>
      <c r="W15" s="8">
        <f>VLOOKUP(A15,'[1]22_UC4'!B:D,3,0)</f>
        <v>0</v>
      </c>
    </row>
    <row r="16" spans="1:23" s="9" customFormat="1" ht="26.15" customHeight="1" x14ac:dyDescent="0.35">
      <c r="A16" s="7" t="s">
        <v>37</v>
      </c>
      <c r="B16" s="8">
        <f>VLOOKUP(A16,'[1]1_MEDLEAPR_PME'!B:H,6,0)</f>
        <v>100</v>
      </c>
      <c r="C16" s="8" t="str">
        <f>VLOOKUP(A16,'[1]2_MEDLEAPR_MLC'!B:I,6,0)</f>
        <v>100.00</v>
      </c>
      <c r="D16" s="8">
        <f>VLOOKUP(A16,'[1]3_NATGRID'!B:H,6,0)</f>
        <v>0</v>
      </c>
      <c r="E16" s="8">
        <f>VLOOKUP(A16,'[1]4_DGP_DASH'!B:E,3,0)</f>
        <v>100</v>
      </c>
      <c r="F16" s="8">
        <f>VLOOKUP(A16,'[1]5_CCTNS_TILL'!B:P,13,0)</f>
        <v>90.93</v>
      </c>
      <c r="G16" s="8">
        <f>VLOOKUP(A16,'[1]6_CCTNS_1_7'!B:P,13,0)</f>
        <v>80.33</v>
      </c>
      <c r="H16" s="8">
        <f>VLOOKUP(A16,'[1]7_CCTNS_8_15'!B:M,11,0)</f>
        <v>0</v>
      </c>
      <c r="I16" s="8">
        <f>VLOOKUP(A16,'[1]8_ZERO_FIRS'!B:H,6,0)</f>
        <v>100</v>
      </c>
      <c r="J16" s="8">
        <f>VLOOKUP(A16,'[1]9_CITIZEN_PORTAL'!B:H,6,0)</f>
        <v>100</v>
      </c>
      <c r="K16" s="8">
        <f>VLOOKUP(A16,'[1]10_ESAKSHYA'!B:L,6,0)</f>
        <v>98.376623376623371</v>
      </c>
      <c r="L16" s="8">
        <f>VLOOKUP(A16,'[1]11_CEIR'!B:L,10,0)</f>
        <v>0</v>
      </c>
      <c r="M16" s="8">
        <f>VLOOKUP(A16,'[1]12_EPROSEC'!B:H,4,0)</f>
        <v>100</v>
      </c>
      <c r="N16" s="8">
        <f>VLOOKUP(A16,'[1]13_FIR_CS_COURT'!B:L,11,0)</f>
        <v>74.677812608847091</v>
      </c>
      <c r="O16" s="8">
        <f>VLOOKUP(A16,'[1]14_EOFFICE'!B:K,9,0)</f>
        <v>0</v>
      </c>
      <c r="P16" s="8">
        <f>VLOOKUP(A16,'[1]15_APOLIS'!B:K,10,0)</f>
        <v>95</v>
      </c>
      <c r="Q16" s="8">
        <f>VLOOKUP(A16,'[1]16_APOLICE_FP'!B:H,5,0)</f>
        <v>0</v>
      </c>
      <c r="R16" s="8">
        <f>VLOOKUP(A16,'[1]17_EDAR'!B:F,4,0)</f>
        <v>100</v>
      </c>
      <c r="S16" s="8">
        <f>VLOOKUP(A16,'[1]18_CCTV_360'!B:S,17,0)</f>
        <v>100</v>
      </c>
      <c r="T16" s="8">
        <f>VLOOKUP(A16,'[1]19_NEWS360AI'!B:D,2,0)</f>
        <v>0</v>
      </c>
      <c r="U16" s="8">
        <f>VLOOKUP(A16,'[1]20_eFSL'!B:F,4,0)</f>
        <v>0</v>
      </c>
      <c r="V16" s="8">
        <f>VLOOKUP(A16,'[1]21_UC3'!B:D,2,0)</f>
        <v>0</v>
      </c>
      <c r="W16" s="8">
        <f>VLOOKUP(A16,'[1]22_UC4'!B:D,3,0)</f>
        <v>0</v>
      </c>
    </row>
    <row r="17" spans="1:23" s="9" customFormat="1" ht="26.15" customHeight="1" x14ac:dyDescent="0.35">
      <c r="A17" s="7" t="s">
        <v>38</v>
      </c>
      <c r="B17" s="8" t="str">
        <f>VLOOKUP(A17,'[1]1_MEDLEAPR_PME'!B:H,6,0)</f>
        <v>100.00</v>
      </c>
      <c r="C17" s="8" t="str">
        <f>VLOOKUP(A17,'[1]2_MEDLEAPR_MLC'!B:I,6,0)</f>
        <v>100.00</v>
      </c>
      <c r="D17" s="8">
        <f>VLOOKUP(A17,'[1]3_NATGRID'!B:H,6,0)</f>
        <v>0</v>
      </c>
      <c r="E17" s="8">
        <f>VLOOKUP(A17,'[1]4_DGP_DASH'!B:E,3,0)</f>
        <v>100</v>
      </c>
      <c r="F17" s="8">
        <f>VLOOKUP(A17,'[1]5_CCTNS_TILL'!B:P,13,0)</f>
        <v>96.81</v>
      </c>
      <c r="G17" s="8">
        <f>VLOOKUP(A17,'[1]6_CCTNS_1_7'!B:P,13,0)</f>
        <v>100</v>
      </c>
      <c r="H17" s="8">
        <f>VLOOKUP(A17,'[1]7_CCTNS_8_15'!B:M,11,0)</f>
        <v>0</v>
      </c>
      <c r="I17" s="8">
        <f>VLOOKUP(A17,'[1]8_ZERO_FIRS'!B:H,6,0)</f>
        <v>100</v>
      </c>
      <c r="J17" s="8">
        <f>VLOOKUP(A17,'[1]9_CITIZEN_PORTAL'!B:H,6,0)</f>
        <v>100</v>
      </c>
      <c r="K17" s="8">
        <f>VLOOKUP(A17,'[1]10_ESAKSHYA'!B:L,6,0)</f>
        <v>52.061855670103093</v>
      </c>
      <c r="L17" s="8">
        <f>VLOOKUP(A17,'[1]11_CEIR'!B:L,10,0)</f>
        <v>0</v>
      </c>
      <c r="M17" s="8">
        <f>VLOOKUP(A17,'[1]12_EPROSEC'!B:H,4,0)</f>
        <v>100</v>
      </c>
      <c r="N17" s="8">
        <f>VLOOKUP(A17,'[1]13_FIR_CS_COURT'!B:L,11,0)</f>
        <v>76.972130373169577</v>
      </c>
      <c r="O17" s="8">
        <f>VLOOKUP(A17,'[1]14_EOFFICE'!B:K,9,0)</f>
        <v>0</v>
      </c>
      <c r="P17" s="8">
        <f>VLOOKUP(A17,'[1]15_APOLIS'!B:K,10,0)</f>
        <v>93.75</v>
      </c>
      <c r="Q17" s="8">
        <f>VLOOKUP(A17,'[1]16_APOLICE_FP'!B:H,5,0)</f>
        <v>0</v>
      </c>
      <c r="R17" s="8">
        <f>VLOOKUP(A17,'[1]17_EDAR'!B:F,4,0)</f>
        <v>100</v>
      </c>
      <c r="S17" s="8">
        <f>VLOOKUP(A17,'[1]18_CCTV_360'!B:S,17,0)</f>
        <v>21.428571428571427</v>
      </c>
      <c r="T17" s="8">
        <f>VLOOKUP(A17,'[1]19_NEWS360AI'!B:D,2,0)</f>
        <v>0</v>
      </c>
      <c r="U17" s="8">
        <f>VLOOKUP(A17,'[1]20_eFSL'!B:F,4,0)</f>
        <v>100</v>
      </c>
      <c r="V17" s="8">
        <f>VLOOKUP(A17,'[1]21_UC3'!B:D,2,0)</f>
        <v>0</v>
      </c>
      <c r="W17" s="8">
        <f>VLOOKUP(A17,'[1]22_UC4'!B:D,3,0)</f>
        <v>0</v>
      </c>
    </row>
    <row r="18" spans="1:23" s="9" customFormat="1" ht="26.15" customHeight="1" x14ac:dyDescent="0.35">
      <c r="A18" s="7" t="s">
        <v>39</v>
      </c>
      <c r="B18" s="8" t="str">
        <f>VLOOKUP(A18,'[1]1_MEDLEAPR_PME'!B:H,6,0)</f>
        <v>100.00</v>
      </c>
      <c r="C18" s="8" t="str">
        <f>VLOOKUP(A18,'[1]2_MEDLEAPR_MLC'!B:I,6,0)</f>
        <v>100.00</v>
      </c>
      <c r="D18" s="8">
        <f>VLOOKUP(A18,'[1]3_NATGRID'!B:H,6,0)</f>
        <v>0</v>
      </c>
      <c r="E18" s="8">
        <f>VLOOKUP(A18,'[1]4_DGP_DASH'!B:E,3,0)</f>
        <v>100</v>
      </c>
      <c r="F18" s="8">
        <f>VLOOKUP(A18,'[1]5_CCTNS_TILL'!B:P,13,0)</f>
        <v>100</v>
      </c>
      <c r="G18" s="8">
        <f>VLOOKUP(A18,'[1]6_CCTNS_1_7'!B:P,13,0)</f>
        <v>50</v>
      </c>
      <c r="H18" s="8">
        <f>VLOOKUP(A18,'[1]7_CCTNS_8_15'!B:M,11,0)</f>
        <v>0</v>
      </c>
      <c r="I18" s="8">
        <f>VLOOKUP(A18,'[1]8_ZERO_FIRS'!B:H,6,0)</f>
        <v>100</v>
      </c>
      <c r="J18" s="8">
        <f>VLOOKUP(A18,'[1]9_CITIZEN_PORTAL'!B:H,6,0)</f>
        <v>100</v>
      </c>
      <c r="K18" s="8">
        <f>VLOOKUP(A18,'[1]10_ESAKSHYA'!B:L,6,0)</f>
        <v>34.507042253521128</v>
      </c>
      <c r="L18" s="8">
        <f>VLOOKUP(A18,'[1]11_CEIR'!B:L,10,0)</f>
        <v>0</v>
      </c>
      <c r="M18" s="8">
        <f>VLOOKUP(A18,'[1]12_EPROSEC'!B:H,4,0)</f>
        <v>100</v>
      </c>
      <c r="N18" s="8">
        <f>VLOOKUP(A18,'[1]13_FIR_CS_COURT'!B:L,11,0)</f>
        <v>74.82014388489209</v>
      </c>
      <c r="O18" s="8">
        <f>VLOOKUP(A18,'[1]14_EOFFICE'!B:K,9,0)</f>
        <v>0</v>
      </c>
      <c r="P18" s="8">
        <f>VLOOKUP(A18,'[1]15_APOLIS'!B:K,10,0)</f>
        <v>91.666666666666671</v>
      </c>
      <c r="Q18" s="8">
        <f>VLOOKUP(A18,'[1]16_APOLICE_FP'!B:H,5,0)</f>
        <v>0</v>
      </c>
      <c r="R18" s="8">
        <f>VLOOKUP(A18,'[1]17_EDAR'!B:F,4,0)</f>
        <v>100</v>
      </c>
      <c r="S18" s="8">
        <f>VLOOKUP(A18,'[1]18_CCTV_360'!B:S,17,0)</f>
        <v>100</v>
      </c>
      <c r="T18" s="8">
        <f>VLOOKUP(A18,'[1]19_NEWS360AI'!B:D,2,0)</f>
        <v>0</v>
      </c>
      <c r="U18" s="8">
        <f>VLOOKUP(A18,'[1]20_eFSL'!B:F,4,0)</f>
        <v>100</v>
      </c>
      <c r="V18" s="8">
        <f>VLOOKUP(A18,'[1]21_UC3'!B:D,2,0)</f>
        <v>0</v>
      </c>
      <c r="W18" s="8">
        <f>VLOOKUP(A18,'[1]22_UC4'!B:D,3,0)</f>
        <v>0</v>
      </c>
    </row>
    <row r="19" spans="1:23" s="9" customFormat="1" ht="26.15" customHeight="1" x14ac:dyDescent="0.35">
      <c r="A19" s="7" t="s">
        <v>40</v>
      </c>
      <c r="B19" s="8" t="str">
        <f>VLOOKUP(A19,'[1]1_MEDLEAPR_PME'!B:H,6,0)</f>
        <v>100.00</v>
      </c>
      <c r="C19" s="8" t="str">
        <f>VLOOKUP(A19,'[1]2_MEDLEAPR_MLC'!B:I,6,0)</f>
        <v>100.00</v>
      </c>
      <c r="D19" s="8">
        <f>VLOOKUP(A19,'[1]3_NATGRID'!B:H,6,0)</f>
        <v>0</v>
      </c>
      <c r="E19" s="8">
        <f>VLOOKUP(A19,'[1]4_DGP_DASH'!B:E,3,0)</f>
        <v>100</v>
      </c>
      <c r="F19" s="8">
        <f>VLOOKUP(A19,'[1]5_CCTNS_TILL'!B:P,13,0)</f>
        <v>98.27</v>
      </c>
      <c r="G19" s="8">
        <f>VLOOKUP(A19,'[1]6_CCTNS_1_7'!B:P,13,0)</f>
        <v>71.25</v>
      </c>
      <c r="H19" s="8">
        <f>VLOOKUP(A19,'[1]7_CCTNS_8_15'!B:M,11,0)</f>
        <v>0</v>
      </c>
      <c r="I19" s="8">
        <f>VLOOKUP(A19,'[1]8_ZERO_FIRS'!B:H,6,0)</f>
        <v>100</v>
      </c>
      <c r="J19" s="8">
        <f>VLOOKUP(A19,'[1]9_CITIZEN_PORTAL'!B:H,6,0)</f>
        <v>100</v>
      </c>
      <c r="K19" s="8">
        <f>VLOOKUP(A19,'[1]10_ESAKSHYA'!B:L,6,0)</f>
        <v>74.064837905236914</v>
      </c>
      <c r="L19" s="8">
        <f>VLOOKUP(A19,'[1]11_CEIR'!B:L,10,0)</f>
        <v>0</v>
      </c>
      <c r="M19" s="8">
        <f>VLOOKUP(A19,'[1]12_EPROSEC'!B:H,4,0)</f>
        <v>100</v>
      </c>
      <c r="N19" s="8">
        <f>VLOOKUP(A19,'[1]13_FIR_CS_COURT'!B:L,11,0)</f>
        <v>85.250590396221469</v>
      </c>
      <c r="O19" s="8">
        <f>VLOOKUP(A19,'[1]14_EOFFICE'!B:K,9,0)</f>
        <v>0</v>
      </c>
      <c r="P19" s="8">
        <f>VLOOKUP(A19,'[1]15_APOLIS'!B:K,10,0)</f>
        <v>95.833333333333343</v>
      </c>
      <c r="Q19" s="8">
        <f>VLOOKUP(A19,'[1]16_APOLICE_FP'!B:H,5,0)</f>
        <v>0</v>
      </c>
      <c r="R19" s="8">
        <f>VLOOKUP(A19,'[1]17_EDAR'!B:F,4,0)</f>
        <v>100</v>
      </c>
      <c r="S19" s="8">
        <f>VLOOKUP(A19,'[1]18_CCTV_360'!B:S,17,0)</f>
        <v>0</v>
      </c>
      <c r="T19" s="8">
        <f>VLOOKUP(A19,'[1]19_NEWS360AI'!B:D,2,0)</f>
        <v>0</v>
      </c>
      <c r="U19" s="8">
        <f>VLOOKUP(A19,'[1]20_eFSL'!B:F,4,0)</f>
        <v>0</v>
      </c>
      <c r="V19" s="8">
        <f>VLOOKUP(A19,'[1]21_UC3'!B:D,2,0)</f>
        <v>0</v>
      </c>
      <c r="W19" s="8">
        <f>VLOOKUP(A19,'[1]22_UC4'!B:D,3,0)</f>
        <v>0</v>
      </c>
    </row>
    <row r="20" spans="1:23" s="9" customFormat="1" ht="26.15" customHeight="1" x14ac:dyDescent="0.35">
      <c r="A20" s="7" t="s">
        <v>41</v>
      </c>
      <c r="B20" s="8" t="str">
        <f>VLOOKUP(A20,'[1]1_MEDLEAPR_PME'!B:H,6,0)</f>
        <v>100.00</v>
      </c>
      <c r="C20" s="8" t="str">
        <f>VLOOKUP(A20,'[1]2_MEDLEAPR_MLC'!B:I,6,0)</f>
        <v>100.00</v>
      </c>
      <c r="D20" s="8">
        <f>VLOOKUP(A20,'[1]3_NATGRID'!B:H,6,0)</f>
        <v>0</v>
      </c>
      <c r="E20" s="8">
        <f>VLOOKUP(A20,'[1]4_DGP_DASH'!B:E,3,0)</f>
        <v>100</v>
      </c>
      <c r="F20" s="8">
        <f>VLOOKUP(A20,'[1]5_CCTNS_TILL'!B:P,13,0)</f>
        <v>96.85</v>
      </c>
      <c r="G20" s="8">
        <f>VLOOKUP(A20,'[1]6_CCTNS_1_7'!B:P,13,0)</f>
        <v>100</v>
      </c>
      <c r="H20" s="8">
        <f>VLOOKUP(A20,'[1]7_CCTNS_8_15'!B:M,11,0)</f>
        <v>0</v>
      </c>
      <c r="I20" s="8">
        <f>VLOOKUP(A20,'[1]8_ZERO_FIRS'!B:H,6,0)</f>
        <v>100</v>
      </c>
      <c r="J20" s="8">
        <f>VLOOKUP(A20,'[1]9_CITIZEN_PORTAL'!B:H,6,0)</f>
        <v>100</v>
      </c>
      <c r="K20" s="8">
        <f>VLOOKUP(A20,'[1]10_ESAKSHYA'!B:L,6,0)</f>
        <v>51.141552511415526</v>
      </c>
      <c r="L20" s="8">
        <f>VLOOKUP(A20,'[1]11_CEIR'!B:L,10,0)</f>
        <v>0</v>
      </c>
      <c r="M20" s="8">
        <f>VLOOKUP(A20,'[1]12_EPROSEC'!B:H,4,0)</f>
        <v>100</v>
      </c>
      <c r="N20" s="8">
        <f>VLOOKUP(A20,'[1]13_FIR_CS_COURT'!B:L,11,0)</f>
        <v>68.891402714932127</v>
      </c>
      <c r="O20" s="8">
        <f>VLOOKUP(A20,'[1]14_EOFFICE'!B:K,9,0)</f>
        <v>0</v>
      </c>
      <c r="P20" s="8">
        <f>VLOOKUP(A20,'[1]15_APOLIS'!B:K,10,0)</f>
        <v>95.833333333333343</v>
      </c>
      <c r="Q20" s="8">
        <f>VLOOKUP(A20,'[1]16_APOLICE_FP'!B:H,5,0)</f>
        <v>0</v>
      </c>
      <c r="R20" s="8">
        <f>VLOOKUP(A20,'[1]17_EDAR'!B:F,4,0)</f>
        <v>100</v>
      </c>
      <c r="S20" s="8">
        <f>VLOOKUP(A20,'[1]18_CCTV_360'!B:S,17,0)</f>
        <v>100</v>
      </c>
      <c r="T20" s="8">
        <f>VLOOKUP(A20,'[1]19_NEWS360AI'!B:D,2,0)</f>
        <v>0</v>
      </c>
      <c r="U20" s="8">
        <f>VLOOKUP(A20,'[1]20_eFSL'!B:F,4,0)</f>
        <v>100</v>
      </c>
      <c r="V20" s="8">
        <f>VLOOKUP(A20,'[1]21_UC3'!B:D,2,0)</f>
        <v>0</v>
      </c>
      <c r="W20" s="8">
        <f>VLOOKUP(A20,'[1]22_UC4'!B:D,3,0)</f>
        <v>0</v>
      </c>
    </row>
    <row r="21" spans="1:23" s="9" customFormat="1" ht="26.15" customHeight="1" x14ac:dyDescent="0.35">
      <c r="A21" s="7" t="s">
        <v>42</v>
      </c>
      <c r="B21" s="8">
        <f>VLOOKUP(A21,'[1]1_MEDLEAPR_PME'!B:H,6,0)</f>
        <v>100</v>
      </c>
      <c r="C21" s="8" t="str">
        <f>VLOOKUP(A21,'[1]2_MEDLEAPR_MLC'!B:I,6,0)</f>
        <v>100.00</v>
      </c>
      <c r="D21" s="8">
        <f>VLOOKUP(A21,'[1]3_NATGRID'!B:H,6,0)</f>
        <v>0</v>
      </c>
      <c r="E21" s="8">
        <f>VLOOKUP(A21,'[1]4_DGP_DASH'!B:E,3,0)</f>
        <v>100</v>
      </c>
      <c r="F21" s="8">
        <f>VLOOKUP(A21,'[1]5_CCTNS_TILL'!B:P,13,0)</f>
        <v>100</v>
      </c>
      <c r="G21" s="8">
        <f>VLOOKUP(A21,'[1]6_CCTNS_1_7'!B:P,13,0)</f>
        <v>100</v>
      </c>
      <c r="H21" s="8">
        <f>VLOOKUP(A21,'[1]7_CCTNS_8_15'!B:M,11,0)</f>
        <v>0</v>
      </c>
      <c r="I21" s="8">
        <f>VLOOKUP(A21,'[1]8_ZERO_FIRS'!B:H,6,0)</f>
        <v>100</v>
      </c>
      <c r="J21" s="8">
        <f>VLOOKUP(A21,'[1]9_CITIZEN_PORTAL'!B:H,6,0)</f>
        <v>100</v>
      </c>
      <c r="K21" s="8">
        <f>VLOOKUP(A21,'[1]10_ESAKSHYA'!B:L,6,0)</f>
        <v>97.330960854092524</v>
      </c>
      <c r="L21" s="8">
        <f>VLOOKUP(A21,'[1]11_CEIR'!B:L,10,0)</f>
        <v>0</v>
      </c>
      <c r="M21" s="8">
        <f>VLOOKUP(A21,'[1]12_EPROSEC'!B:H,4,0)</f>
        <v>100</v>
      </c>
      <c r="N21" s="8">
        <f>VLOOKUP(A21,'[1]13_FIR_CS_COURT'!B:L,11,0)</f>
        <v>83.823463453286891</v>
      </c>
      <c r="O21" s="8">
        <f>VLOOKUP(A21,'[1]14_EOFFICE'!B:K,9,0)</f>
        <v>0</v>
      </c>
      <c r="P21" s="8">
        <f>VLOOKUP(A21,'[1]15_APOLIS'!B:K,10,0)</f>
        <v>97.5</v>
      </c>
      <c r="Q21" s="8">
        <f>VLOOKUP(A21,'[1]16_APOLICE_FP'!B:H,5,0)</f>
        <v>0</v>
      </c>
      <c r="R21" s="8">
        <f>VLOOKUP(A21,'[1]17_EDAR'!B:F,4,0)</f>
        <v>100</v>
      </c>
      <c r="S21" s="8">
        <f>VLOOKUP(A21,'[1]18_CCTV_360'!B:S,17,0)</f>
        <v>100</v>
      </c>
      <c r="T21" s="8">
        <f>VLOOKUP(A21,'[1]19_NEWS360AI'!B:D,2,0)</f>
        <v>0</v>
      </c>
      <c r="U21" s="8">
        <f>VLOOKUP(A21,'[1]20_eFSL'!B:F,4,0)</f>
        <v>100</v>
      </c>
      <c r="V21" s="8">
        <f>VLOOKUP(A21,'[1]21_UC3'!B:D,2,0)</f>
        <v>0</v>
      </c>
      <c r="W21" s="8">
        <f>VLOOKUP(A21,'[1]22_UC4'!B:D,3,0)</f>
        <v>0</v>
      </c>
    </row>
    <row r="22" spans="1:23" s="9" customFormat="1" ht="26.15" customHeight="1" x14ac:dyDescent="0.35">
      <c r="A22" s="7" t="s">
        <v>43</v>
      </c>
      <c r="B22" s="8" t="str">
        <f>VLOOKUP(A22,'[1]1_MEDLEAPR_PME'!B:H,6,0)</f>
        <v>100.00</v>
      </c>
      <c r="C22" s="8" t="str">
        <f>VLOOKUP(A22,'[1]2_MEDLEAPR_MLC'!B:I,6,0)</f>
        <v>100.00</v>
      </c>
      <c r="D22" s="8">
        <f>VLOOKUP(A22,'[1]3_NATGRID'!B:H,6,0)</f>
        <v>0</v>
      </c>
      <c r="E22" s="8">
        <f>VLOOKUP(A22,'[1]4_DGP_DASH'!B:E,3,0)</f>
        <v>100</v>
      </c>
      <c r="F22" s="8">
        <f>VLOOKUP(A22,'[1]5_CCTNS_TILL'!B:P,13,0)</f>
        <v>99.71</v>
      </c>
      <c r="G22" s="8">
        <f>VLOOKUP(A22,'[1]6_CCTNS_1_7'!B:P,13,0)</f>
        <v>100</v>
      </c>
      <c r="H22" s="8">
        <f>VLOOKUP(A22,'[1]7_CCTNS_8_15'!B:M,11,0)</f>
        <v>0</v>
      </c>
      <c r="I22" s="8">
        <f>VLOOKUP(A22,'[1]8_ZERO_FIRS'!B:H,6,0)</f>
        <v>100</v>
      </c>
      <c r="J22" s="8">
        <f>VLOOKUP(A22,'[1]9_CITIZEN_PORTAL'!B:H,6,0)</f>
        <v>100</v>
      </c>
      <c r="K22" s="8">
        <f>VLOOKUP(A22,'[1]10_ESAKSHYA'!B:L,6,0)</f>
        <v>71.806167400881051</v>
      </c>
      <c r="L22" s="8">
        <f>VLOOKUP(A22,'[1]11_CEIR'!B:L,10,0)</f>
        <v>0</v>
      </c>
      <c r="M22" s="8">
        <f>VLOOKUP(A22,'[1]12_EPROSEC'!B:H,4,0)</f>
        <v>0</v>
      </c>
      <c r="N22" s="8">
        <f>VLOOKUP(A22,'[1]13_FIR_CS_COURT'!B:L,11,0)</f>
        <v>75.8125</v>
      </c>
      <c r="O22" s="8">
        <f>VLOOKUP(A22,'[1]14_EOFFICE'!B:K,9,0)</f>
        <v>0</v>
      </c>
      <c r="P22" s="8">
        <f>VLOOKUP(A22,'[1]15_APOLIS'!B:K,10,0)</f>
        <v>95.833333333333343</v>
      </c>
      <c r="Q22" s="8">
        <f>VLOOKUP(A22,'[1]16_APOLICE_FP'!B:H,5,0)</f>
        <v>0</v>
      </c>
      <c r="R22" s="8">
        <f>VLOOKUP(A22,'[1]17_EDAR'!B:F,4,0)</f>
        <v>100</v>
      </c>
      <c r="S22" s="8">
        <f>VLOOKUP(A22,'[1]18_CCTV_360'!B:S,17,0)</f>
        <v>57.142857142857139</v>
      </c>
      <c r="T22" s="8">
        <f>VLOOKUP(A22,'[1]19_NEWS360AI'!B:D,2,0)</f>
        <v>0</v>
      </c>
      <c r="U22" s="8">
        <f>VLOOKUP(A22,'[1]20_eFSL'!B:F,4,0)</f>
        <v>100</v>
      </c>
      <c r="V22" s="8">
        <f>VLOOKUP(A22,'[1]21_UC3'!B:D,2,0)</f>
        <v>0</v>
      </c>
      <c r="W22" s="8">
        <f>VLOOKUP(A22,'[1]22_UC4'!B:D,3,0)</f>
        <v>0</v>
      </c>
    </row>
    <row r="23" spans="1:23" s="9" customFormat="1" ht="26.15" customHeight="1" x14ac:dyDescent="0.35">
      <c r="A23" s="7" t="s">
        <v>44</v>
      </c>
      <c r="B23" s="8" t="str">
        <f>VLOOKUP(A23,'[1]1_MEDLEAPR_PME'!B:H,6,0)</f>
        <v>100.00</v>
      </c>
      <c r="C23" s="8" t="str">
        <f>VLOOKUP(A23,'[1]2_MEDLEAPR_MLC'!B:I,6,0)</f>
        <v>100.00</v>
      </c>
      <c r="D23" s="8">
        <f>VLOOKUP(A23,'[1]3_NATGRID'!B:H,6,0)</f>
        <v>0</v>
      </c>
      <c r="E23" s="8">
        <f>VLOOKUP(A23,'[1]4_DGP_DASH'!B:E,3,0)</f>
        <v>100</v>
      </c>
      <c r="F23" s="8">
        <f>VLOOKUP(A23,'[1]5_CCTNS_TILL'!B:P,13,0)</f>
        <v>83.16</v>
      </c>
      <c r="G23" s="8">
        <f>VLOOKUP(A23,'[1]6_CCTNS_1_7'!B:P,13,0)</f>
        <v>76.84</v>
      </c>
      <c r="H23" s="8">
        <f>VLOOKUP(A23,'[1]7_CCTNS_8_15'!B:M,11,0)</f>
        <v>0</v>
      </c>
      <c r="I23" s="8">
        <f>VLOOKUP(A23,'[1]8_ZERO_FIRS'!B:H,6,0)</f>
        <v>100</v>
      </c>
      <c r="J23" s="8">
        <f>VLOOKUP(A23,'[1]9_CITIZEN_PORTAL'!B:H,6,0)</f>
        <v>100</v>
      </c>
      <c r="K23" s="8">
        <f>VLOOKUP(A23,'[1]10_ESAKSHYA'!B:L,6,0)</f>
        <v>39.138943248532293</v>
      </c>
      <c r="L23" s="8">
        <f>VLOOKUP(A23,'[1]11_CEIR'!B:L,10,0)</f>
        <v>0</v>
      </c>
      <c r="M23" s="8">
        <f>VLOOKUP(A23,'[1]12_EPROSEC'!B:H,4,0)</f>
        <v>66.666666666666671</v>
      </c>
      <c r="N23" s="8">
        <f>VLOOKUP(A23,'[1]13_FIR_CS_COURT'!B:L,11,0)</f>
        <v>82.303113553113548</v>
      </c>
      <c r="O23" s="8">
        <f>VLOOKUP(A23,'[1]14_EOFFICE'!B:K,9,0)</f>
        <v>0</v>
      </c>
      <c r="P23" s="8">
        <f>VLOOKUP(A23,'[1]15_APOLIS'!B:K,10,0)</f>
        <v>98.148148148148152</v>
      </c>
      <c r="Q23" s="8">
        <f>VLOOKUP(A23,'[1]16_APOLICE_FP'!B:H,5,0)</f>
        <v>0</v>
      </c>
      <c r="R23" s="8">
        <f>VLOOKUP(A23,'[1]17_EDAR'!B:F,4,0)</f>
        <v>100</v>
      </c>
      <c r="S23" s="8">
        <f>VLOOKUP(A23,'[1]18_CCTV_360'!B:S,17,0)</f>
        <v>100</v>
      </c>
      <c r="T23" s="8">
        <f>VLOOKUP(A23,'[1]19_NEWS360AI'!B:D,2,0)</f>
        <v>0</v>
      </c>
      <c r="U23" s="8">
        <f>VLOOKUP(A23,'[1]20_eFSL'!B:F,4,0)</f>
        <v>100</v>
      </c>
      <c r="V23" s="8">
        <f>VLOOKUP(A23,'[1]21_UC3'!B:D,2,0)</f>
        <v>0</v>
      </c>
      <c r="W23" s="8">
        <f>VLOOKUP(A23,'[1]22_UC4'!B:D,3,0)</f>
        <v>0</v>
      </c>
    </row>
    <row r="24" spans="1:23" s="9" customFormat="1" ht="26.15" customHeight="1" x14ac:dyDescent="0.35">
      <c r="A24" s="7" t="s">
        <v>45</v>
      </c>
      <c r="B24" s="8" t="str">
        <f>VLOOKUP(A24,'[1]1_MEDLEAPR_PME'!B:H,6,0)</f>
        <v>100.00</v>
      </c>
      <c r="C24" s="8" t="str">
        <f>VLOOKUP(A24,'[1]2_MEDLEAPR_MLC'!B:I,6,0)</f>
        <v>100.00</v>
      </c>
      <c r="D24" s="8">
        <f>VLOOKUP(A24,'[1]3_NATGRID'!B:H,6,0)</f>
        <v>0</v>
      </c>
      <c r="E24" s="8">
        <f>VLOOKUP(A24,'[1]4_DGP_DASH'!B:E,3,0)</f>
        <v>100</v>
      </c>
      <c r="F24" s="8">
        <f>VLOOKUP(A24,'[1]5_CCTNS_TILL'!B:P,13,0)</f>
        <v>82.52</v>
      </c>
      <c r="G24" s="8">
        <f>VLOOKUP(A24,'[1]6_CCTNS_1_7'!B:P,13,0)</f>
        <v>50</v>
      </c>
      <c r="H24" s="8">
        <f>VLOOKUP(A24,'[1]7_CCTNS_8_15'!B:M,11,0)</f>
        <v>0</v>
      </c>
      <c r="I24" s="8">
        <f>VLOOKUP(A24,'[1]8_ZERO_FIRS'!B:H,6,0)</f>
        <v>100</v>
      </c>
      <c r="J24" s="8">
        <f>VLOOKUP(A24,'[1]9_CITIZEN_PORTAL'!B:H,6,0)</f>
        <v>100</v>
      </c>
      <c r="K24" s="8">
        <f>VLOOKUP(A24,'[1]10_ESAKSHYA'!B:L,6,0)</f>
        <v>45.222929936305732</v>
      </c>
      <c r="L24" s="8">
        <f>VLOOKUP(A24,'[1]11_CEIR'!B:L,10,0)</f>
        <v>0</v>
      </c>
      <c r="M24" s="8">
        <f>VLOOKUP(A24,'[1]12_EPROSEC'!B:H,4,0)</f>
        <v>100</v>
      </c>
      <c r="N24" s="8">
        <f>VLOOKUP(A24,'[1]13_FIR_CS_COURT'!B:L,11,0)</f>
        <v>78.155637254901961</v>
      </c>
      <c r="O24" s="8">
        <f>VLOOKUP(A24,'[1]14_EOFFICE'!B:K,9,0)</f>
        <v>0</v>
      </c>
      <c r="P24" s="8">
        <f>VLOOKUP(A24,'[1]15_APOLIS'!B:K,10,0)</f>
        <v>95.833333333333343</v>
      </c>
      <c r="Q24" s="8">
        <f>VLOOKUP(A24,'[1]16_APOLICE_FP'!B:H,5,0)</f>
        <v>0</v>
      </c>
      <c r="R24" s="8">
        <f>VLOOKUP(A24,'[1]17_EDAR'!B:F,4,0)</f>
        <v>100</v>
      </c>
      <c r="S24" s="8">
        <f>VLOOKUP(A24,'[1]18_CCTV_360'!B:S,17,0)</f>
        <v>78.571428571428569</v>
      </c>
      <c r="T24" s="8">
        <f>VLOOKUP(A24,'[1]19_NEWS360AI'!B:D,2,0)</f>
        <v>0</v>
      </c>
      <c r="U24" s="8">
        <f>VLOOKUP(A24,'[1]20_eFSL'!B:F,4,0)</f>
        <v>100</v>
      </c>
      <c r="V24" s="8">
        <f>VLOOKUP(A24,'[1]21_UC3'!B:D,2,0)</f>
        <v>0</v>
      </c>
      <c r="W24" s="8">
        <f>VLOOKUP(A24,'[1]22_UC4'!B:D,3,0)</f>
        <v>0</v>
      </c>
    </row>
    <row r="25" spans="1:23" s="9" customFormat="1" ht="26.15" customHeight="1" x14ac:dyDescent="0.35">
      <c r="A25" s="7" t="s">
        <v>46</v>
      </c>
      <c r="B25" s="8" t="str">
        <f>VLOOKUP(A25,'[1]1_MEDLEAPR_PME'!B:H,6,0)</f>
        <v>100.00</v>
      </c>
      <c r="C25" s="8">
        <f>VLOOKUP(A25,'[1]2_MEDLEAPR_MLC'!B:I,6,0)</f>
        <v>100</v>
      </c>
      <c r="D25" s="8">
        <f>VLOOKUP(A25,'[1]3_NATGRID'!B:H,6,0)</f>
        <v>0</v>
      </c>
      <c r="E25" s="8">
        <f>VLOOKUP(A25,'[1]4_DGP_DASH'!B:E,3,0)</f>
        <v>100</v>
      </c>
      <c r="F25" s="8">
        <f>VLOOKUP(A25,'[1]5_CCTNS_TILL'!B:P,13,0)</f>
        <v>100</v>
      </c>
      <c r="G25" s="8">
        <f>VLOOKUP(A25,'[1]6_CCTNS_1_7'!B:P,13,0)</f>
        <v>100</v>
      </c>
      <c r="H25" s="8">
        <f>VLOOKUP(A25,'[1]7_CCTNS_8_15'!B:M,11,0)</f>
        <v>0</v>
      </c>
      <c r="I25" s="8">
        <f>VLOOKUP(A25,'[1]8_ZERO_FIRS'!B:H,6,0)</f>
        <v>100</v>
      </c>
      <c r="J25" s="8">
        <f>VLOOKUP(A25,'[1]9_CITIZEN_PORTAL'!B:H,6,0)</f>
        <v>100</v>
      </c>
      <c r="K25" s="8">
        <f>VLOOKUP(A25,'[1]10_ESAKSHYA'!B:L,6,0)</f>
        <v>38.536585365853661</v>
      </c>
      <c r="L25" s="8">
        <f>VLOOKUP(A25,'[1]11_CEIR'!B:L,10,0)</f>
        <v>0</v>
      </c>
      <c r="M25" s="8">
        <f>VLOOKUP(A25,'[1]12_EPROSEC'!B:H,4,0)</f>
        <v>50</v>
      </c>
      <c r="N25" s="8">
        <f>VLOOKUP(A25,'[1]13_FIR_CS_COURT'!B:L,11,0)</f>
        <v>68.089498361063846</v>
      </c>
      <c r="O25" s="8">
        <f>VLOOKUP(A25,'[1]14_EOFFICE'!B:K,9,0)</f>
        <v>0</v>
      </c>
      <c r="P25" s="8">
        <f>VLOOKUP(A25,'[1]15_APOLIS'!B:K,10,0)</f>
        <v>97.297297297297291</v>
      </c>
      <c r="Q25" s="8">
        <f>VLOOKUP(A25,'[1]16_APOLICE_FP'!B:H,5,0)</f>
        <v>0</v>
      </c>
      <c r="R25" s="8">
        <f>VLOOKUP(A25,'[1]17_EDAR'!B:F,4,0)</f>
        <v>100</v>
      </c>
      <c r="S25" s="8">
        <f>VLOOKUP(A25,'[1]18_CCTV_360'!B:S,17,0)</f>
        <v>64.285714285714292</v>
      </c>
      <c r="T25" s="8">
        <f>VLOOKUP(A25,'[1]19_NEWS360AI'!B:D,2,0)</f>
        <v>0</v>
      </c>
      <c r="U25" s="8">
        <f>VLOOKUP(A25,'[1]20_eFSL'!B:F,4,0)</f>
        <v>0</v>
      </c>
      <c r="V25" s="8">
        <f>VLOOKUP(A25,'[1]21_UC3'!B:D,2,0)</f>
        <v>0</v>
      </c>
      <c r="W25" s="8">
        <f>VLOOKUP(A25,'[1]22_UC4'!B:D,3,0)</f>
        <v>0</v>
      </c>
    </row>
    <row r="26" spans="1:23" s="9" customFormat="1" ht="26.15" customHeight="1" x14ac:dyDescent="0.35">
      <c r="A26" s="7" t="s">
        <v>47</v>
      </c>
      <c r="B26" s="8">
        <f>VLOOKUP(A26,'[1]1_MEDLEAPR_PME'!B:H,6,0)</f>
        <v>100</v>
      </c>
      <c r="C26" s="8" t="str">
        <f>VLOOKUP(A26,'[1]2_MEDLEAPR_MLC'!B:I,6,0)</f>
        <v>100.00</v>
      </c>
      <c r="D26" s="8">
        <f>VLOOKUP(A26,'[1]3_NATGRID'!B:H,6,0)</f>
        <v>0</v>
      </c>
      <c r="E26" s="8">
        <f>VLOOKUP(A26,'[1]4_DGP_DASH'!B:E,3,0)</f>
        <v>100</v>
      </c>
      <c r="F26" s="8">
        <f>VLOOKUP(A26,'[1]5_CCTNS_TILL'!B:P,13,0)</f>
        <v>100</v>
      </c>
      <c r="G26" s="8">
        <f>VLOOKUP(A26,'[1]6_CCTNS_1_7'!B:P,13,0)</f>
        <v>100</v>
      </c>
      <c r="H26" s="8">
        <f>VLOOKUP(A26,'[1]7_CCTNS_8_15'!B:M,11,0)</f>
        <v>0</v>
      </c>
      <c r="I26" s="8">
        <f>VLOOKUP(A26,'[1]8_ZERO_FIRS'!B:H,6,0)</f>
        <v>100</v>
      </c>
      <c r="J26" s="8">
        <f>VLOOKUP(A26,'[1]9_CITIZEN_PORTAL'!B:H,6,0)</f>
        <v>100</v>
      </c>
      <c r="K26" s="8">
        <f>VLOOKUP(A26,'[1]10_ESAKSHYA'!B:L,6,0)</f>
        <v>78.479381443298962</v>
      </c>
      <c r="L26" s="8">
        <f>VLOOKUP(A26,'[1]11_CEIR'!B:L,10,0)</f>
        <v>0</v>
      </c>
      <c r="M26" s="8">
        <f>VLOOKUP(A26,'[1]12_EPROSEC'!B:H,4,0)</f>
        <v>100</v>
      </c>
      <c r="N26" s="8">
        <f>VLOOKUP(A26,'[1]13_FIR_CS_COURT'!B:L,11,0)</f>
        <v>73.372602099790981</v>
      </c>
      <c r="O26" s="8">
        <f>VLOOKUP(A26,'[1]14_EOFFICE'!B:K,9,0)</f>
        <v>0</v>
      </c>
      <c r="P26" s="8">
        <f>VLOOKUP(A26,'[1]15_APOLIS'!B:K,10,0)</f>
        <v>97.058823529411768</v>
      </c>
      <c r="Q26" s="8">
        <f>VLOOKUP(A26,'[1]16_APOLICE_FP'!B:H,5,0)</f>
        <v>0</v>
      </c>
      <c r="R26" s="8">
        <f>VLOOKUP(A26,'[1]17_EDAR'!B:F,4,0)</f>
        <v>100</v>
      </c>
      <c r="S26" s="8">
        <f>VLOOKUP(A26,'[1]18_CCTV_360'!B:S,17,0)</f>
        <v>100</v>
      </c>
      <c r="T26" s="8">
        <f>VLOOKUP(A26,'[1]19_NEWS360AI'!B:D,2,0)</f>
        <v>0</v>
      </c>
      <c r="U26" s="8">
        <f>VLOOKUP(A26,'[1]20_eFSL'!B:F,4,0)</f>
        <v>100</v>
      </c>
      <c r="V26" s="8">
        <f>VLOOKUP(A26,'[1]21_UC3'!B:D,2,0)</f>
        <v>0</v>
      </c>
      <c r="W26" s="8">
        <f>VLOOKUP(A26,'[1]22_UC4'!B:D,3,0)</f>
        <v>0</v>
      </c>
    </row>
    <row r="27" spans="1:23" s="9" customFormat="1" ht="26.15" customHeight="1" x14ac:dyDescent="0.35">
      <c r="A27" s="7" t="s">
        <v>48</v>
      </c>
      <c r="B27" s="8" t="str">
        <f>VLOOKUP(A27,'[1]1_MEDLEAPR_PME'!B:H,6,0)</f>
        <v>100.00</v>
      </c>
      <c r="C27" s="8">
        <f>VLOOKUP(A27,'[1]2_MEDLEAPR_MLC'!B:I,6,0)</f>
        <v>100</v>
      </c>
      <c r="D27" s="8">
        <f>VLOOKUP(A27,'[1]3_NATGRID'!B:H,6,0)</f>
        <v>0</v>
      </c>
      <c r="E27" s="8">
        <f>VLOOKUP(A27,'[1]4_DGP_DASH'!B:E,3,0)</f>
        <v>100</v>
      </c>
      <c r="F27" s="8">
        <f>VLOOKUP(A27,'[1]5_CCTNS_TILL'!B:P,13,0)</f>
        <v>100</v>
      </c>
      <c r="G27" s="8">
        <f>VLOOKUP(A27,'[1]6_CCTNS_1_7'!B:P,13,0)</f>
        <v>37.25</v>
      </c>
      <c r="H27" s="8">
        <f>VLOOKUP(A27,'[1]7_CCTNS_8_15'!B:M,11,0)</f>
        <v>0</v>
      </c>
      <c r="I27" s="8">
        <f>VLOOKUP(A27,'[1]8_ZERO_FIRS'!B:H,6,0)</f>
        <v>100</v>
      </c>
      <c r="J27" s="8">
        <f>VLOOKUP(A27,'[1]9_CITIZEN_PORTAL'!B:H,6,0)</f>
        <v>100</v>
      </c>
      <c r="K27" s="8">
        <f>VLOOKUP(A27,'[1]10_ESAKSHYA'!B:L,6,0)</f>
        <v>55.339805825242721</v>
      </c>
      <c r="L27" s="8">
        <f>VLOOKUP(A27,'[1]11_CEIR'!B:L,10,0)</f>
        <v>0</v>
      </c>
      <c r="M27" s="8">
        <f>VLOOKUP(A27,'[1]12_EPROSEC'!B:H,4,0)</f>
        <v>100</v>
      </c>
      <c r="N27" s="8">
        <f>VLOOKUP(A27,'[1]13_FIR_CS_COURT'!B:L,11,0)</f>
        <v>86.00641539695269</v>
      </c>
      <c r="O27" s="8">
        <f>VLOOKUP(A27,'[1]14_EOFFICE'!B:K,9,0)</f>
        <v>0</v>
      </c>
      <c r="P27" s="8">
        <f>VLOOKUP(A27,'[1]15_APOLIS'!B:K,10,0)</f>
        <v>96.428571428571431</v>
      </c>
      <c r="Q27" s="8">
        <f>VLOOKUP(A27,'[1]16_APOLICE_FP'!B:H,5,0)</f>
        <v>0</v>
      </c>
      <c r="R27" s="8">
        <f>VLOOKUP(A27,'[1]17_EDAR'!B:F,4,0)</f>
        <v>100</v>
      </c>
      <c r="S27" s="8">
        <f>VLOOKUP(A27,'[1]18_CCTV_360'!B:S,17,0)</f>
        <v>64.285714285714292</v>
      </c>
      <c r="T27" s="8">
        <f>VLOOKUP(A27,'[1]19_NEWS360AI'!B:D,2,0)</f>
        <v>0</v>
      </c>
      <c r="U27" s="8">
        <f>VLOOKUP(A27,'[1]20_eFSL'!B:F,4,0)</f>
        <v>100</v>
      </c>
      <c r="V27" s="8">
        <f>VLOOKUP(A27,'[1]21_UC3'!B:D,2,0)</f>
        <v>0</v>
      </c>
      <c r="W27" s="8">
        <f>VLOOKUP(A27,'[1]22_UC4'!B:D,3,0)</f>
        <v>0</v>
      </c>
    </row>
    <row r="28" spans="1:23" s="9" customFormat="1" ht="26.15" customHeight="1" x14ac:dyDescent="0.35">
      <c r="A28" s="7" t="s">
        <v>49</v>
      </c>
      <c r="B28" s="8" t="str">
        <f>VLOOKUP(A28,'[1]1_MEDLEAPR_PME'!B:H,6,0)</f>
        <v>100.00</v>
      </c>
      <c r="C28" s="8" t="str">
        <f>VLOOKUP(A28,'[1]2_MEDLEAPR_MLC'!B:I,6,0)</f>
        <v>100.00</v>
      </c>
      <c r="D28" s="8">
        <f>VLOOKUP(A28,'[1]3_NATGRID'!B:H,6,0)</f>
        <v>0</v>
      </c>
      <c r="E28" s="8">
        <f>VLOOKUP(A28,'[1]4_DGP_DASH'!B:E,3,0)</f>
        <v>100</v>
      </c>
      <c r="F28" s="8">
        <f>VLOOKUP(A28,'[1]5_CCTNS_TILL'!B:P,13,0)</f>
        <v>100</v>
      </c>
      <c r="G28" s="8">
        <f>VLOOKUP(A28,'[1]6_CCTNS_1_7'!B:P,13,0)</f>
        <v>50</v>
      </c>
      <c r="H28" s="8">
        <f>VLOOKUP(A28,'[1]7_CCTNS_8_15'!B:M,11,0)</f>
        <v>0</v>
      </c>
      <c r="I28" s="8">
        <f>VLOOKUP(A28,'[1]8_ZERO_FIRS'!B:H,6,0)</f>
        <v>100</v>
      </c>
      <c r="J28" s="8">
        <f>VLOOKUP(A28,'[1]9_CITIZEN_PORTAL'!B:H,6,0)</f>
        <v>100</v>
      </c>
      <c r="K28" s="8">
        <f>VLOOKUP(A28,'[1]10_ESAKSHYA'!B:L,6,0)</f>
        <v>92.694063926940643</v>
      </c>
      <c r="L28" s="8">
        <f>VLOOKUP(A28,'[1]11_CEIR'!B:L,10,0)</f>
        <v>0</v>
      </c>
      <c r="M28" s="8">
        <f>VLOOKUP(A28,'[1]12_EPROSEC'!B:H,4,0)</f>
        <v>0</v>
      </c>
      <c r="N28" s="8">
        <f>VLOOKUP(A28,'[1]13_FIR_CS_COURT'!B:L,11,0)</f>
        <v>82.481481481481481</v>
      </c>
      <c r="O28" s="8">
        <f>VLOOKUP(A28,'[1]14_EOFFICE'!B:K,9,0)</f>
        <v>0</v>
      </c>
      <c r="P28" s="8">
        <f>VLOOKUP(A28,'[1]15_APOLIS'!B:K,10,0)</f>
        <v>95.833333333333343</v>
      </c>
      <c r="Q28" s="8">
        <f>VLOOKUP(A28,'[1]16_APOLICE_FP'!B:H,5,0)</f>
        <v>0</v>
      </c>
      <c r="R28" s="8">
        <f>VLOOKUP(A28,'[1]17_EDAR'!B:F,4,0)</f>
        <v>100</v>
      </c>
      <c r="S28" s="8">
        <f>VLOOKUP(A28,'[1]18_CCTV_360'!B:S,17,0)</f>
        <v>85.714285714285708</v>
      </c>
      <c r="T28" s="8">
        <f>VLOOKUP(A28,'[1]19_NEWS360AI'!B:D,2,0)</f>
        <v>0</v>
      </c>
      <c r="U28" s="8">
        <f>VLOOKUP(A28,'[1]20_eFSL'!B:F,4,0)</f>
        <v>100</v>
      </c>
      <c r="V28" s="8">
        <f>VLOOKUP(A28,'[1]21_UC3'!B:D,2,0)</f>
        <v>0</v>
      </c>
      <c r="W28" s="8">
        <f>VLOOKUP(A28,'[1]22_UC4'!B:D,3,0)</f>
        <v>0</v>
      </c>
    </row>
    <row r="29" spans="1:23" s="9" customFormat="1" ht="26.15" customHeight="1" x14ac:dyDescent="0.35">
      <c r="A29" s="7" t="s">
        <v>50</v>
      </c>
      <c r="B29" s="8" t="str">
        <f>VLOOKUP(A29,'[1]1_MEDLEAPR_PME'!B:H,6,0)</f>
        <v>100.00</v>
      </c>
      <c r="C29" s="8" t="str">
        <f>VLOOKUP(A29,'[1]2_MEDLEAPR_MLC'!B:I,6,0)</f>
        <v>100.00</v>
      </c>
      <c r="D29" s="8">
        <f>VLOOKUP(A29,'[1]3_NATGRID'!B:H,6,0)</f>
        <v>0</v>
      </c>
      <c r="E29" s="8">
        <f>VLOOKUP(A29,'[1]4_DGP_DASH'!B:E,3,0)</f>
        <v>100</v>
      </c>
      <c r="F29" s="8">
        <f>VLOOKUP(A29,'[1]5_CCTNS_TILL'!B:P,13,0)</f>
        <v>98.24</v>
      </c>
      <c r="G29" s="8">
        <f>VLOOKUP(A29,'[1]6_CCTNS_1_7'!B:P,13,0)</f>
        <v>100</v>
      </c>
      <c r="H29" s="8">
        <f>VLOOKUP(A29,'[1]7_CCTNS_8_15'!B:M,11,0)</f>
        <v>0</v>
      </c>
      <c r="I29" s="8">
        <f>VLOOKUP(A29,'[1]8_ZERO_FIRS'!B:H,6,0)</f>
        <v>100</v>
      </c>
      <c r="J29" s="8">
        <f>VLOOKUP(A29,'[1]9_CITIZEN_PORTAL'!B:H,6,0)</f>
        <v>100</v>
      </c>
      <c r="K29" s="8">
        <f>VLOOKUP(A29,'[1]10_ESAKSHYA'!B:L,6,0)</f>
        <v>69.658119658119659</v>
      </c>
      <c r="L29" s="8">
        <f>VLOOKUP(A29,'[1]11_CEIR'!B:L,10,0)</f>
        <v>0</v>
      </c>
      <c r="M29" s="8">
        <f>VLOOKUP(A29,'[1]12_EPROSEC'!B:H,4,0)</f>
        <v>100</v>
      </c>
      <c r="N29" s="8">
        <f>VLOOKUP(A29,'[1]13_FIR_CS_COURT'!B:L,11,0)</f>
        <v>83.950617283950606</v>
      </c>
      <c r="O29" s="8">
        <f>VLOOKUP(A29,'[1]14_EOFFICE'!B:K,9,0)</f>
        <v>0</v>
      </c>
      <c r="P29" s="8">
        <f>VLOOKUP(A29,'[1]15_APOLIS'!B:K,10,0)</f>
        <v>95.833333333333343</v>
      </c>
      <c r="Q29" s="8">
        <f>VLOOKUP(A29,'[1]16_APOLICE_FP'!B:H,5,0)</f>
        <v>0</v>
      </c>
      <c r="R29" s="8">
        <f>VLOOKUP(A29,'[1]17_EDAR'!B:F,4,0)</f>
        <v>100</v>
      </c>
      <c r="S29" s="8">
        <f>VLOOKUP(A29,'[1]18_CCTV_360'!B:S,17,0)</f>
        <v>57.142857142857139</v>
      </c>
      <c r="T29" s="8">
        <f>VLOOKUP(A29,'[1]19_NEWS360AI'!B:D,2,0)</f>
        <v>0</v>
      </c>
      <c r="U29" s="8">
        <f>VLOOKUP(A29,'[1]20_eFSL'!B:F,4,0)</f>
        <v>100</v>
      </c>
      <c r="V29" s="8">
        <f>VLOOKUP(A29,'[1]21_UC3'!B:D,2,0)</f>
        <v>0</v>
      </c>
      <c r="W29" s="8">
        <f>VLOOKUP(A29,'[1]22_UC4'!B:D,3,0)</f>
        <v>0</v>
      </c>
    </row>
    <row r="30" spans="1:23" s="9" customFormat="1" ht="26.15" customHeight="1" x14ac:dyDescent="0.35">
      <c r="A30" s="7" t="s">
        <v>51</v>
      </c>
      <c r="B30" s="8">
        <f>VLOOKUP(A30,'[1]1_MEDLEAPR_PME'!B:H,6,0)</f>
        <v>100</v>
      </c>
      <c r="C30" s="8" t="str">
        <f>VLOOKUP(A30,'[1]2_MEDLEAPR_MLC'!B:I,6,0)</f>
        <v>100.00</v>
      </c>
      <c r="D30" s="8">
        <f>VLOOKUP(A30,'[1]3_NATGRID'!B:H,6,0)</f>
        <v>0</v>
      </c>
      <c r="E30" s="8">
        <f>VLOOKUP(A30,'[1]4_DGP_DASH'!B:E,3,0)</f>
        <v>100</v>
      </c>
      <c r="F30" s="8">
        <f>VLOOKUP(A30,'[1]5_CCTNS_TILL'!B:P,13,0)</f>
        <v>80.11</v>
      </c>
      <c r="G30" s="8">
        <f>VLOOKUP(A30,'[1]6_CCTNS_1_7'!B:P,13,0)</f>
        <v>13.97</v>
      </c>
      <c r="H30" s="8">
        <f>VLOOKUP(A30,'[1]7_CCTNS_8_15'!B:M,11,0)</f>
        <v>0</v>
      </c>
      <c r="I30" s="8">
        <f>VLOOKUP(A30,'[1]8_ZERO_FIRS'!B:H,6,0)</f>
        <v>100</v>
      </c>
      <c r="J30" s="8">
        <f>VLOOKUP(A30,'[1]9_CITIZEN_PORTAL'!B:H,6,0)</f>
        <v>100</v>
      </c>
      <c r="K30" s="8">
        <f>VLOOKUP(A30,'[1]10_ESAKSHYA'!B:L,6,0)</f>
        <v>87.631027253668762</v>
      </c>
      <c r="L30" s="8">
        <f>VLOOKUP(A30,'[1]11_CEIR'!B:L,10,0)</f>
        <v>0</v>
      </c>
      <c r="M30" s="8">
        <f>VLOOKUP(A30,'[1]12_EPROSEC'!B:H,4,0)</f>
        <v>25</v>
      </c>
      <c r="N30" s="8">
        <f>VLOOKUP(A30,'[1]13_FIR_CS_COURT'!B:L,11,0)</f>
        <v>83.210336782308786</v>
      </c>
      <c r="O30" s="8">
        <f>VLOOKUP(A30,'[1]14_EOFFICE'!B:K,9,0)</f>
        <v>0</v>
      </c>
      <c r="P30" s="8">
        <f>VLOOKUP(A30,'[1]15_APOLIS'!B:K,10,0)</f>
        <v>95.833333333333343</v>
      </c>
      <c r="Q30" s="8">
        <f>VLOOKUP(A30,'[1]16_APOLICE_FP'!B:H,5,0)</f>
        <v>0</v>
      </c>
      <c r="R30" s="8">
        <f>VLOOKUP(A30,'[1]17_EDAR'!B:F,4,0)</f>
        <v>100</v>
      </c>
      <c r="S30" s="8">
        <f>VLOOKUP(A30,'[1]18_CCTV_360'!B:S,17,0)</f>
        <v>71.428571428571431</v>
      </c>
      <c r="T30" s="8">
        <f>VLOOKUP(A30,'[1]19_NEWS360AI'!B:D,2,0)</f>
        <v>0</v>
      </c>
      <c r="U30" s="8">
        <f>VLOOKUP(A30,'[1]20_eFSL'!B:F,4,0)</f>
        <v>100</v>
      </c>
      <c r="V30" s="8">
        <f>VLOOKUP(A30,'[1]21_UC3'!B:D,2,0)</f>
        <v>0</v>
      </c>
      <c r="W30" s="8">
        <f>VLOOKUP(A30,'[1]22_UC4'!B:D,3,0)</f>
        <v>0</v>
      </c>
    </row>
    <row r="31" spans="1:23" s="9" customFormat="1" ht="26.15" customHeight="1" x14ac:dyDescent="0.35">
      <c r="A31" s="7" t="s">
        <v>52</v>
      </c>
      <c r="B31" s="8">
        <f>VLOOKUP(A31,'[1]1_MEDLEAPR_PME'!B:H,6,0)</f>
        <v>100</v>
      </c>
      <c r="C31" s="8">
        <f>VLOOKUP(A31,'[1]2_MEDLEAPR_MLC'!B:I,6,0)</f>
        <v>100</v>
      </c>
      <c r="D31" s="8">
        <f>VLOOKUP(A31,'[1]3_NATGRID'!B:H,6,0)</f>
        <v>0</v>
      </c>
      <c r="E31" s="8">
        <f>VLOOKUP(A31,'[1]4_DGP_DASH'!B:E,3,0)</f>
        <v>100</v>
      </c>
      <c r="F31" s="8">
        <f>VLOOKUP(A31,'[1]5_CCTNS_TILL'!B:P,13,0)</f>
        <v>90.21</v>
      </c>
      <c r="G31" s="8">
        <f>VLOOKUP(A31,'[1]6_CCTNS_1_7'!B:P,13,0)</f>
        <v>46.57</v>
      </c>
      <c r="H31" s="8">
        <f>VLOOKUP(A31,'[1]7_CCTNS_8_15'!B:M,11,0)</f>
        <v>0</v>
      </c>
      <c r="I31" s="8">
        <f>VLOOKUP(A31,'[1]8_ZERO_FIRS'!B:H,6,0)</f>
        <v>100</v>
      </c>
      <c r="J31" s="8">
        <f>VLOOKUP(A31,'[1]9_CITIZEN_PORTAL'!B:H,6,0)</f>
        <v>100</v>
      </c>
      <c r="K31" s="8">
        <f>VLOOKUP(A31,'[1]10_ESAKSHYA'!B:L,6,0)</f>
        <v>46.851851851851855</v>
      </c>
      <c r="L31" s="8">
        <f>VLOOKUP(A31,'[1]11_CEIR'!B:L,10,0)</f>
        <v>0</v>
      </c>
      <c r="M31" s="8">
        <f>VLOOKUP(A31,'[1]12_EPROSEC'!B:H,4,0)</f>
        <v>0</v>
      </c>
      <c r="N31" s="8">
        <f>VLOOKUP(A31,'[1]13_FIR_CS_COURT'!B:L,11,0)</f>
        <v>68.491200032782174</v>
      </c>
      <c r="O31" s="8">
        <f>VLOOKUP(A31,'[1]14_EOFFICE'!B:K,9,0)</f>
        <v>0</v>
      </c>
      <c r="P31" s="8">
        <f>VLOOKUP(A31,'[1]15_APOLIS'!B:K,10,0)</f>
        <v>96.428571428571431</v>
      </c>
      <c r="Q31" s="8">
        <f>VLOOKUP(A31,'[1]16_APOLICE_FP'!B:H,5,0)</f>
        <v>0</v>
      </c>
      <c r="R31" s="8">
        <f>VLOOKUP(A31,'[1]17_EDAR'!B:F,4,0)</f>
        <v>100</v>
      </c>
      <c r="S31" s="8">
        <f>VLOOKUP(A31,'[1]18_CCTV_360'!B:S,17,0)</f>
        <v>100</v>
      </c>
      <c r="T31" s="8">
        <f>VLOOKUP(A31,'[1]19_NEWS360AI'!B:D,2,0)</f>
        <v>0</v>
      </c>
      <c r="U31" s="8">
        <f>VLOOKUP(A31,'[1]20_eFSL'!B:F,4,0)</f>
        <v>100</v>
      </c>
      <c r="V31" s="8">
        <f>VLOOKUP(A31,'[1]21_UC3'!B:D,2,0)</f>
        <v>0</v>
      </c>
      <c r="W31" s="8">
        <f>VLOOKUP(A31,'[1]22_UC4'!B:D,3,0)</f>
        <v>0</v>
      </c>
    </row>
    <row r="32" spans="1:23" s="9" customFormat="1" ht="26.15" customHeight="1" x14ac:dyDescent="0.35">
      <c r="A32" s="7" t="s">
        <v>53</v>
      </c>
      <c r="B32" s="8" t="str">
        <f>VLOOKUP(A32,'[1]1_MEDLEAPR_PME'!B:H,6,0)</f>
        <v>100.00</v>
      </c>
      <c r="C32" s="8" t="str">
        <f>VLOOKUP(A32,'[1]2_MEDLEAPR_MLC'!B:I,6,0)</f>
        <v>100.00</v>
      </c>
      <c r="D32" s="8">
        <f>VLOOKUP(A32,'[1]3_NATGRID'!B:H,6,0)</f>
        <v>0</v>
      </c>
      <c r="E32" s="8">
        <f>VLOOKUP(A32,'[1]4_DGP_DASH'!B:E,3,0)</f>
        <v>100</v>
      </c>
      <c r="F32" s="8">
        <f>VLOOKUP(A32,'[1]5_CCTNS_TILL'!B:P,13,0)</f>
        <v>89.57</v>
      </c>
      <c r="G32" s="8">
        <f>VLOOKUP(A32,'[1]6_CCTNS_1_7'!B:P,13,0)</f>
        <v>50</v>
      </c>
      <c r="H32" s="8">
        <f>VLOOKUP(A32,'[1]7_CCTNS_8_15'!B:M,11,0)</f>
        <v>0</v>
      </c>
      <c r="I32" s="8">
        <f>VLOOKUP(A32,'[1]8_ZERO_FIRS'!B:H,6,0)</f>
        <v>100</v>
      </c>
      <c r="J32" s="8">
        <f>VLOOKUP(A32,'[1]9_CITIZEN_PORTAL'!B:H,6,0)</f>
        <v>100</v>
      </c>
      <c r="K32" s="8">
        <f>VLOOKUP(A32,'[1]10_ESAKSHYA'!B:L,6,0)</f>
        <v>91.79331306990882</v>
      </c>
      <c r="L32" s="8">
        <f>VLOOKUP(A32,'[1]11_CEIR'!B:L,10,0)</f>
        <v>0</v>
      </c>
      <c r="M32" s="8">
        <f>VLOOKUP(A32,'[1]12_EPROSEC'!B:H,4,0)</f>
        <v>100</v>
      </c>
      <c r="N32" s="8">
        <f>VLOOKUP(A32,'[1]13_FIR_CS_COURT'!B:L,11,0)</f>
        <v>77.813852813852805</v>
      </c>
      <c r="O32" s="8">
        <f>VLOOKUP(A32,'[1]14_EOFFICE'!B:K,9,0)</f>
        <v>0</v>
      </c>
      <c r="P32" s="8">
        <f>VLOOKUP(A32,'[1]15_APOLIS'!B:K,10,0)</f>
        <v>96.428571428571431</v>
      </c>
      <c r="Q32" s="8">
        <f>VLOOKUP(A32,'[1]16_APOLICE_FP'!B:H,5,0)</f>
        <v>0</v>
      </c>
      <c r="R32" s="8">
        <f>VLOOKUP(A32,'[1]17_EDAR'!B:F,4,0)</f>
        <v>100</v>
      </c>
      <c r="S32" s="8">
        <f>VLOOKUP(A32,'[1]18_CCTV_360'!B:S,17,0)</f>
        <v>42.857142857142854</v>
      </c>
      <c r="T32" s="8">
        <f>VLOOKUP(A32,'[1]19_NEWS360AI'!B:D,2,0)</f>
        <v>0</v>
      </c>
      <c r="U32" s="8">
        <f>VLOOKUP(A32,'[1]20_eFSL'!B:F,4,0)</f>
        <v>100</v>
      </c>
      <c r="V32" s="8">
        <f>VLOOKUP(A32,'[1]21_UC3'!B:D,2,0)</f>
        <v>0</v>
      </c>
      <c r="W32" s="8">
        <f>VLOOKUP(A32,'[1]22_UC4'!B:D,3,0)</f>
        <v>0</v>
      </c>
    </row>
    <row r="33" spans="1:23" s="9" customFormat="1" ht="26.15" customHeight="1" x14ac:dyDescent="0.35">
      <c r="A33" s="7" t="s">
        <v>54</v>
      </c>
      <c r="B33" s="8" t="str">
        <f>VLOOKUP(A33,'[1]1_MEDLEAPR_PME'!B:H,6,0)</f>
        <v>100.00</v>
      </c>
      <c r="C33" s="8">
        <f>VLOOKUP(A33,'[1]2_MEDLEAPR_MLC'!B:I,6,0)</f>
        <v>100</v>
      </c>
      <c r="D33" s="8">
        <f>VLOOKUP(A33,'[1]3_NATGRID'!B:H,6,0)</f>
        <v>0</v>
      </c>
      <c r="E33" s="8">
        <f>VLOOKUP(A33,'[1]4_DGP_DASH'!B:E,3,0)</f>
        <v>100</v>
      </c>
      <c r="F33" s="8">
        <f>VLOOKUP(A33,'[1]5_CCTNS_TILL'!B:P,13,0)</f>
        <v>100</v>
      </c>
      <c r="G33" s="8">
        <f>VLOOKUP(A33,'[1]6_CCTNS_1_7'!B:P,13,0)</f>
        <v>100</v>
      </c>
      <c r="H33" s="8">
        <f>VLOOKUP(A33,'[1]7_CCTNS_8_15'!B:M,11,0)</f>
        <v>0</v>
      </c>
      <c r="I33" s="8">
        <f>VLOOKUP(A33,'[1]8_ZERO_FIRS'!B:H,6,0)</f>
        <v>100</v>
      </c>
      <c r="J33" s="8">
        <f>VLOOKUP(A33,'[1]9_CITIZEN_PORTAL'!B:H,6,0)</f>
        <v>100</v>
      </c>
      <c r="K33" s="8">
        <f>VLOOKUP(A33,'[1]10_ESAKSHYA'!B:L,6,0)</f>
        <v>91.714285714285708</v>
      </c>
      <c r="L33" s="8">
        <f>VLOOKUP(A33,'[1]11_CEIR'!B:L,10,0)</f>
        <v>0</v>
      </c>
      <c r="M33" s="8">
        <f>VLOOKUP(A33,'[1]12_EPROSEC'!B:H,4,0)</f>
        <v>100</v>
      </c>
      <c r="N33" s="8">
        <f>VLOOKUP(A33,'[1]13_FIR_CS_COURT'!B:L,11,0)</f>
        <v>82.234432234432234</v>
      </c>
      <c r="O33" s="8">
        <f>VLOOKUP(A33,'[1]14_EOFFICE'!B:K,9,0)</f>
        <v>0</v>
      </c>
      <c r="P33" s="8">
        <f>VLOOKUP(A33,'[1]15_APOLIS'!B:K,10,0)</f>
        <v>95</v>
      </c>
      <c r="Q33" s="8">
        <f>VLOOKUP(A33,'[1]16_APOLICE_FP'!B:H,5,0)</f>
        <v>0</v>
      </c>
      <c r="R33" s="8">
        <f>VLOOKUP(A33,'[1]17_EDAR'!B:F,4,0)</f>
        <v>100</v>
      </c>
      <c r="S33" s="8">
        <f>VLOOKUP(A33,'[1]18_CCTV_360'!B:S,17,0)</f>
        <v>78.571428571428569</v>
      </c>
      <c r="T33" s="8">
        <f>VLOOKUP(A33,'[1]19_NEWS360AI'!B:D,2,0)</f>
        <v>0</v>
      </c>
      <c r="U33" s="8">
        <f>VLOOKUP(A33,'[1]20_eFSL'!B:F,4,0)</f>
        <v>100</v>
      </c>
      <c r="V33" s="8">
        <f>VLOOKUP(A33,'[1]21_UC3'!B:D,2,0)</f>
        <v>0</v>
      </c>
      <c r="W33" s="8">
        <f>VLOOKUP(A33,'[1]22_UC4'!B:D,3,0)</f>
        <v>0</v>
      </c>
    </row>
    <row r="34" spans="1:23" s="9" customFormat="1" ht="26.15" customHeight="1" x14ac:dyDescent="0.35">
      <c r="A34" s="7" t="s">
        <v>55</v>
      </c>
      <c r="B34" s="8" t="str">
        <f>VLOOKUP(A34,'[1]1_MEDLEAPR_PME'!B:H,6,0)</f>
        <v>100.00</v>
      </c>
      <c r="C34" s="8" t="str">
        <f>VLOOKUP(A34,'[1]2_MEDLEAPR_MLC'!B:I,6,0)</f>
        <v>100.00</v>
      </c>
      <c r="D34" s="8">
        <f>VLOOKUP(A34,'[1]3_NATGRID'!B:H,6,0)</f>
        <v>0</v>
      </c>
      <c r="E34" s="8">
        <f>VLOOKUP(A34,'[1]4_DGP_DASH'!B:E,3,0)</f>
        <v>100</v>
      </c>
      <c r="F34" s="8">
        <f>VLOOKUP(A34,'[1]5_CCTNS_TILL'!B:P,13,0)</f>
        <v>100</v>
      </c>
      <c r="G34" s="8">
        <f>VLOOKUP(A34,'[1]6_CCTNS_1_7'!B:P,13,0)</f>
        <v>100</v>
      </c>
      <c r="H34" s="8">
        <f>VLOOKUP(A34,'[1]7_CCTNS_8_15'!B:M,11,0)</f>
        <v>0</v>
      </c>
      <c r="I34" s="8">
        <f>VLOOKUP(A34,'[1]8_ZERO_FIRS'!B:H,6,0)</f>
        <v>100</v>
      </c>
      <c r="J34" s="8">
        <f>VLOOKUP(A34,'[1]9_CITIZEN_PORTAL'!B:H,6,0)</f>
        <v>100</v>
      </c>
      <c r="K34" s="8">
        <f>VLOOKUP(A34,'[1]10_ESAKSHYA'!B:L,6,0)</f>
        <v>80.384615384615387</v>
      </c>
      <c r="L34" s="8">
        <f>VLOOKUP(A34,'[1]11_CEIR'!B:L,10,0)</f>
        <v>0</v>
      </c>
      <c r="M34" s="8">
        <f>VLOOKUP(A34,'[1]12_EPROSEC'!B:H,4,0)</f>
        <v>100</v>
      </c>
      <c r="N34" s="8">
        <f>VLOOKUP(A34,'[1]13_FIR_CS_COURT'!B:L,11,0)</f>
        <v>77.056836248012715</v>
      </c>
      <c r="O34" s="8">
        <f>VLOOKUP(A34,'[1]14_EOFFICE'!B:K,9,0)</f>
        <v>0</v>
      </c>
      <c r="P34" s="8">
        <f>VLOOKUP(A34,'[1]15_APOLIS'!B:K,10,0)</f>
        <v>95</v>
      </c>
      <c r="Q34" s="8">
        <f>VLOOKUP(A34,'[1]16_APOLICE_FP'!B:H,5,0)</f>
        <v>0</v>
      </c>
      <c r="R34" s="8">
        <f>VLOOKUP(A34,'[1]17_EDAR'!B:F,4,0)</f>
        <v>100</v>
      </c>
      <c r="S34" s="8">
        <f>VLOOKUP(A34,'[1]18_CCTV_360'!B:S,17,0)</f>
        <v>85.714285714285708</v>
      </c>
      <c r="T34" s="8">
        <f>VLOOKUP(A34,'[1]19_NEWS360AI'!B:D,2,0)</f>
        <v>0</v>
      </c>
      <c r="U34" s="8">
        <f>VLOOKUP(A34,'[1]20_eFSL'!B:F,4,0)</f>
        <v>0</v>
      </c>
      <c r="V34" s="8">
        <f>VLOOKUP(A34,'[1]21_UC3'!B:D,2,0)</f>
        <v>0</v>
      </c>
      <c r="W34" s="8">
        <f>VLOOKUP(A34,'[1]22_UC4'!B:D,3,0)</f>
        <v>0</v>
      </c>
    </row>
    <row r="35" spans="1:23" s="9" customFormat="1" ht="26.15" customHeight="1" x14ac:dyDescent="0.35">
      <c r="A35" s="7" t="s">
        <v>56</v>
      </c>
      <c r="B35" s="8" t="str">
        <f>VLOOKUP(A35,'[1]1_MEDLEAPR_PME'!B:H,6,0)</f>
        <v>100.00</v>
      </c>
      <c r="C35" s="8" t="str">
        <f>VLOOKUP(A35,'[1]2_MEDLEAPR_MLC'!B:I,6,0)</f>
        <v>100.00</v>
      </c>
      <c r="D35" s="8">
        <f>VLOOKUP(A35,'[1]3_NATGRID'!B:H,6,0)</f>
        <v>0</v>
      </c>
      <c r="E35" s="8">
        <f>VLOOKUP(A35,'[1]4_DGP_DASH'!B:E,3,0)</f>
        <v>100</v>
      </c>
      <c r="F35" s="8">
        <f>VLOOKUP(A35,'[1]5_CCTNS_TILL'!B:P,13,0)</f>
        <v>81.13</v>
      </c>
      <c r="G35" s="8">
        <f>VLOOKUP(A35,'[1]6_CCTNS_1_7'!B:P,13,0)</f>
        <v>50</v>
      </c>
      <c r="H35" s="8">
        <f>VLOOKUP(A35,'[1]7_CCTNS_8_15'!B:M,11,0)</f>
        <v>0</v>
      </c>
      <c r="I35" s="8">
        <f>VLOOKUP(A35,'[1]8_ZERO_FIRS'!B:H,6,0)</f>
        <v>100</v>
      </c>
      <c r="J35" s="8">
        <f>VLOOKUP(A35,'[1]9_CITIZEN_PORTAL'!B:H,6,0)</f>
        <v>100</v>
      </c>
      <c r="K35" s="8">
        <f>VLOOKUP(A35,'[1]10_ESAKSHYA'!B:L,6,0)</f>
        <v>82.608695652173907</v>
      </c>
      <c r="L35" s="8">
        <f>VLOOKUP(A35,'[1]11_CEIR'!B:L,10,0)</f>
        <v>0</v>
      </c>
      <c r="M35" s="8">
        <f>VLOOKUP(A35,'[1]12_EPROSEC'!B:H,4,0)</f>
        <v>100</v>
      </c>
      <c r="N35" s="8">
        <f>VLOOKUP(A35,'[1]13_FIR_CS_COURT'!B:L,11,0)</f>
        <v>50</v>
      </c>
      <c r="O35" s="8">
        <f>VLOOKUP(A35,'[1]14_EOFFICE'!B:K,9,0)</f>
        <v>0</v>
      </c>
      <c r="P35" s="8">
        <f>VLOOKUP(A35,'[1]15_APOLIS'!B:K,10,0)</f>
        <v>93.75</v>
      </c>
      <c r="Q35" s="8">
        <f>VLOOKUP(A35,'[1]16_APOLICE_FP'!B:H,5,0)</f>
        <v>0</v>
      </c>
      <c r="R35" s="8">
        <f>VLOOKUP(A35,'[1]17_EDAR'!B:F,4,0)</f>
        <v>100</v>
      </c>
      <c r="S35" s="8">
        <f>VLOOKUP(A35,'[1]18_CCTV_360'!B:S,17,0)</f>
        <v>100</v>
      </c>
      <c r="T35" s="8">
        <f>VLOOKUP(A35,'[1]19_NEWS360AI'!B:D,2,0)</f>
        <v>0</v>
      </c>
      <c r="U35" s="8">
        <f>VLOOKUP(A35,'[1]20_eFSL'!B:F,4,0)</f>
        <v>100</v>
      </c>
      <c r="V35" s="8">
        <f>VLOOKUP(A35,'[1]21_UC3'!B:D,2,0)</f>
        <v>0</v>
      </c>
      <c r="W35" s="8">
        <f>VLOOKUP(A35,'[1]22_UC4'!B:D,3,0)</f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Itcore Anakapalli</dc:creator>
  <cp:lastModifiedBy>Itcore Anakapalli</cp:lastModifiedBy>
  <dcterms:created xsi:type="dcterms:W3CDTF">2026-10-14T15:25:42Z</dcterms:created>
  <dcterms:modified xsi:type="dcterms:W3CDTF">2026-10-14T15:26:22Z</dcterms:modified>
</cp:coreProperties>
</file>