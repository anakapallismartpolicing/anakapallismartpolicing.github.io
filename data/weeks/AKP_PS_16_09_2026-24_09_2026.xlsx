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8_{2A4ED5D6-0692-47BF-8601-E4533B422895}" xr6:coauthVersionLast="47" xr6:coauthVersionMax="47" xr10:uidLastSave="{00000000-0000-0000-0000-000000000000}"/>
  <bookViews>
    <workbookView xWindow="-108" yWindow="-108" windowWidth="23256" windowHeight="12456" xr2:uid="{BC89355F-0941-4B6D-8CC1-D4FB4457EF93}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5" i="1" l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</calcChain>
</file>

<file path=xl/sharedStrings.xml><?xml version="1.0" encoding="utf-8"?>
<sst xmlns="http://schemas.openxmlformats.org/spreadsheetml/2006/main" count="57" uniqueCount="57">
  <si>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</si>
  <si>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</si>
  <si>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</si>
  <si>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</si>
  <si>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</si>
  <si>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</si>
  <si>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</si>
  <si>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</si>
  <si>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</si>
  <si>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</si>
  <si>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</si>
  <si>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>CEIR Score</t>
  </si>
  <si>
    <t>eProsecution</t>
  </si>
  <si>
    <t>FIRs &amp; CS Con</t>
  </si>
  <si>
    <t>eOffice</t>
  </si>
  <si>
    <t xml:space="preserve">APOLIS </t>
  </si>
  <si>
    <t>APOLIS _FP</t>
  </si>
  <si>
    <t>EDAR</t>
  </si>
  <si>
    <t>CCTV360 Usage</t>
  </si>
  <si>
    <t>News360AI</t>
  </si>
  <si>
    <t>eFSL</t>
  </si>
  <si>
    <t>UC3</t>
  </si>
  <si>
    <t>UC4</t>
  </si>
  <si>
    <t>Wt →</t>
  </si>
  <si>
    <t>A.Koduru</t>
  </si>
  <si>
    <t>Anakapalli Rural</t>
  </si>
  <si>
    <t>Anakapalli Town</t>
  </si>
  <si>
    <t>Anakapalli Traffic</t>
  </si>
  <si>
    <t>Atchutapuram</t>
  </si>
  <si>
    <t>Butchiyyapeta</t>
  </si>
  <si>
    <t>Cheedikada</t>
  </si>
  <si>
    <t>Chodavaram</t>
  </si>
  <si>
    <t>Devarapalli</t>
  </si>
  <si>
    <t>Golugonda</t>
  </si>
  <si>
    <t>K.D.Peta</t>
  </si>
  <si>
    <t>K.Kotapadu</t>
  </si>
  <si>
    <t>Kasimkota</t>
  </si>
  <si>
    <t>Kotavurtla</t>
  </si>
  <si>
    <t>Kothakota</t>
  </si>
  <si>
    <t>Mahila UPS, Anakapalli</t>
  </si>
  <si>
    <t>Makavarapalem</t>
  </si>
  <si>
    <t>Munagapaka</t>
  </si>
  <si>
    <t>Nakkapalli</t>
  </si>
  <si>
    <t>Narsipatnam Rural</t>
  </si>
  <si>
    <t>Narsipatnam Town</t>
  </si>
  <si>
    <t>Nathavaram</t>
  </si>
  <si>
    <t>Parawada</t>
  </si>
  <si>
    <t>Payakaraopeta</t>
  </si>
  <si>
    <t>Rambilli</t>
  </si>
  <si>
    <t>Ravikamatham</t>
  </si>
  <si>
    <t>Rolugunta</t>
  </si>
  <si>
    <t>S.Rayavaram</t>
  </si>
  <si>
    <t>Sabbavaram</t>
  </si>
  <si>
    <t>V.Madugula</t>
  </si>
  <si>
    <t>Yelamanchili Rural</t>
  </si>
  <si>
    <t>Yelamanchili Town</t>
  </si>
  <si>
    <t>Yelamanchili 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</si>
</sst>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b/>
      <sz val="7"/>
      <color rgb="FF000000"/>
      <name val="Segoe UI"/>
      <family val="2"/>
    </font>
    <font>
      <sz val="10"/>
      <color indexed="8"/>
      <name val="Times New Roman"/>
      <family val="1"/>
    </font>
    <font>
      <b/>
      <sz val="10"/>
      <color rgb="FF14532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2" fontId="2" fillId="3" borderId="1" xfId="0" applyNumberFormat="1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10" fontId="4" fillId="4" borderId="1" xfId="0" applyNumberFormat="1" applyFont="1" applyFill="1" applyBorder="1" applyAlignment="1">
      <alignment horizontal="center" vertical="center" wrapText="1"/>
    </xf>
    <xf numFmtId="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2" fontId="6" fillId="6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olak\OneDrive\Desktop\SMART_POLICE_RAW_DATA%2024.09%20(1).xlsx" TargetMode="External"/><Relationship Id="rId1" Type="http://schemas.openxmlformats.org/officeDocument/2006/relationships/externalLinkPath" Target="SMART_POLICE_RAW_DATA%2024.09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_MEDLEAPR_PME"/>
      <sheetName val="2_MEDLEAPR_MLC"/>
      <sheetName val="3_NATGRID"/>
      <sheetName val="4_DGP_DASH"/>
      <sheetName val="5_CCTNS_TILL"/>
      <sheetName val="6_CCTNS_1_7"/>
      <sheetName val="7_CCTNS_8_15"/>
      <sheetName val="8_ZERO_FIRS"/>
      <sheetName val="9_CITIZEN_PORTAL"/>
      <sheetName val="10_ESAKSHYA"/>
      <sheetName val="11_CEIR"/>
      <sheetName val="12_EPROSEC"/>
      <sheetName val="13_FIR_CS_COURT"/>
      <sheetName val="14_EOFFICE"/>
      <sheetName val="15_APOLIS"/>
      <sheetName val="16_APOLICE_FP"/>
      <sheetName val="17_CCTV_360"/>
      <sheetName val="18_EDAR"/>
      <sheetName val="19_NEWS360AI"/>
      <sheetName val="20_eFSL"/>
      <sheetName val="21_UC3"/>
      <sheetName val="22_UC4"/>
      <sheetName val="Sheet1"/>
    </sheetNames>
    <sheetDataSet>
      <sheetData sheetId="0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PME</v>
          </cell>
          <cell r="E2" t="str">
            <v>No. of Cases Requests Raised</v>
          </cell>
          <cell r="F2" t="str">
            <v>% Requests
Completed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</v>
          </cell>
          <cell r="F5">
            <v>100</v>
          </cell>
          <cell r="G5">
            <v>100</v>
          </cell>
          <cell r="H5">
            <v>2.5</v>
          </cell>
        </row>
        <row r="6">
          <cell r="B6" t="str">
            <v>Anakapalli Traffic</v>
          </cell>
          <cell r="F6" t="str">
            <v>100.00</v>
          </cell>
          <cell r="G6" t="str">
            <v>100.00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C8">
            <v>3</v>
          </cell>
          <cell r="D8">
            <v>3</v>
          </cell>
          <cell r="E8">
            <v>3</v>
          </cell>
          <cell r="F8">
            <v>100</v>
          </cell>
          <cell r="G8">
            <v>100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F10" t="str">
            <v>100.00</v>
          </cell>
          <cell r="G10" t="str">
            <v>100.00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1</v>
          </cell>
          <cell r="F12">
            <v>100</v>
          </cell>
          <cell r="G12">
            <v>100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2</v>
          </cell>
          <cell r="F14">
            <v>100</v>
          </cell>
          <cell r="G14">
            <v>100</v>
          </cell>
          <cell r="H14">
            <v>2.5</v>
          </cell>
        </row>
        <row r="15">
          <cell r="B15" t="str">
            <v>Kasimkota</v>
          </cell>
          <cell r="F15" t="str">
            <v>100.00</v>
          </cell>
          <cell r="G15" t="str">
            <v>100.00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F17" t="str">
            <v>100.00</v>
          </cell>
          <cell r="G17" t="str">
            <v>100.00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C19">
            <v>1</v>
          </cell>
          <cell r="D19">
            <v>1</v>
          </cell>
          <cell r="E19">
            <v>1</v>
          </cell>
          <cell r="F19">
            <v>100</v>
          </cell>
          <cell r="G19">
            <v>100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F24" t="str">
            <v>100.00</v>
          </cell>
          <cell r="G24" t="str">
            <v>100.00</v>
          </cell>
          <cell r="H24">
            <v>2.5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5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C26">
            <v>1</v>
          </cell>
          <cell r="D26">
            <v>1</v>
          </cell>
          <cell r="E26">
            <v>1</v>
          </cell>
          <cell r="F26">
            <v>100</v>
          </cell>
          <cell r="G26">
            <v>100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F31" t="str">
            <v>100.00</v>
          </cell>
          <cell r="G31" t="str">
            <v>100.00</v>
          </cell>
          <cell r="H31">
            <v>2.5</v>
          </cell>
        </row>
        <row r="32">
          <cell r="B32" t="str">
            <v>V.Madugula</v>
          </cell>
          <cell r="F32" t="str">
            <v>100.00</v>
          </cell>
          <cell r="G32" t="str">
            <v>100.00</v>
          </cell>
          <cell r="H32">
            <v>2.5</v>
          </cell>
        </row>
        <row r="33">
          <cell r="B33" t="str">
            <v>Yelamanchili Rural</v>
          </cell>
          <cell r="C33">
            <v>3</v>
          </cell>
          <cell r="D33">
            <v>3</v>
          </cell>
          <cell r="E33">
            <v>3</v>
          </cell>
          <cell r="F33">
            <v>100</v>
          </cell>
          <cell r="G33">
            <v>100</v>
          </cell>
          <cell r="H33">
            <v>2.5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</v>
          </cell>
          <cell r="F34">
            <v>100</v>
          </cell>
          <cell r="G34">
            <v>100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22</v>
          </cell>
          <cell r="D36">
            <v>22</v>
          </cell>
          <cell r="E36">
            <v>22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1">
        <row r="2">
          <cell r="B2" t="str">
            <v>PS NAME</v>
          </cell>
          <cell r="C2" t="str">
            <v xml:space="preserve">Total Cases 
Reported </v>
          </cell>
          <cell r="D2" t="str">
            <v>No. of Cases
 required MLC</v>
          </cell>
          <cell r="E2" t="str">
            <v>No. of Cases Requests Raised</v>
          </cell>
          <cell r="F2" t="str">
            <v>% Requests</v>
          </cell>
          <cell r="G2" t="str">
            <v>Raw 
Value</v>
          </cell>
          <cell r="H2" t="str">
            <v>Marks</v>
          </cell>
        </row>
        <row r="3">
          <cell r="B3" t="str">
            <v>A.Koduru</v>
          </cell>
          <cell r="F3" t="str">
            <v>100.00</v>
          </cell>
          <cell r="G3" t="str">
            <v>100.00</v>
          </cell>
          <cell r="H3">
            <v>2.5</v>
          </cell>
        </row>
        <row r="4">
          <cell r="B4" t="str">
            <v>Anakapalli Rural</v>
          </cell>
          <cell r="C4">
            <v>2</v>
          </cell>
          <cell r="D4">
            <v>2</v>
          </cell>
          <cell r="E4">
            <v>2</v>
          </cell>
          <cell r="F4">
            <v>100</v>
          </cell>
          <cell r="G4">
            <v>100</v>
          </cell>
          <cell r="H4">
            <v>2.5</v>
          </cell>
        </row>
        <row r="5">
          <cell r="B5" t="str">
            <v>Anakapalli Town</v>
          </cell>
          <cell r="F5" t="str">
            <v>100.00</v>
          </cell>
          <cell r="G5" t="str">
            <v>100.00</v>
          </cell>
          <cell r="H5">
            <v>2.5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1</v>
          </cell>
          <cell r="F6">
            <v>100</v>
          </cell>
          <cell r="G6">
            <v>100</v>
          </cell>
          <cell r="H6">
            <v>2.5</v>
          </cell>
        </row>
        <row r="7">
          <cell r="B7" t="str">
            <v>Atchutapuram</v>
          </cell>
          <cell r="C7">
            <v>2</v>
          </cell>
          <cell r="D7">
            <v>2</v>
          </cell>
          <cell r="E7">
            <v>2</v>
          </cell>
          <cell r="F7">
            <v>100</v>
          </cell>
          <cell r="G7">
            <v>100</v>
          </cell>
          <cell r="H7">
            <v>2.5</v>
          </cell>
        </row>
        <row r="8">
          <cell r="B8" t="str">
            <v>Butchiyyapeta</v>
          </cell>
          <cell r="F8" t="str">
            <v>100.00</v>
          </cell>
          <cell r="G8" t="str">
            <v>100.00</v>
          </cell>
          <cell r="H8">
            <v>2.5</v>
          </cell>
        </row>
        <row r="9">
          <cell r="B9" t="str">
            <v>Cheedikada</v>
          </cell>
          <cell r="F9" t="str">
            <v>100.00</v>
          </cell>
          <cell r="G9" t="str">
            <v>100.00</v>
          </cell>
          <cell r="H9">
            <v>2.5</v>
          </cell>
        </row>
        <row r="10">
          <cell r="B10" t="str">
            <v>Chodavaram</v>
          </cell>
          <cell r="C10">
            <v>3</v>
          </cell>
          <cell r="D10">
            <v>3</v>
          </cell>
          <cell r="E10">
            <v>3</v>
          </cell>
          <cell r="F10">
            <v>100</v>
          </cell>
          <cell r="G10">
            <v>100</v>
          </cell>
          <cell r="H10">
            <v>2.5</v>
          </cell>
        </row>
        <row r="11">
          <cell r="B11" t="str">
            <v>Devarapalli</v>
          </cell>
          <cell r="F11" t="str">
            <v>100.00</v>
          </cell>
          <cell r="G11" t="str">
            <v>100.00</v>
          </cell>
          <cell r="H11">
            <v>2.5</v>
          </cell>
        </row>
        <row r="12">
          <cell r="B12" t="str">
            <v>Golugonda</v>
          </cell>
          <cell r="F12" t="str">
            <v>100.00</v>
          </cell>
          <cell r="G12" t="str">
            <v>100.00</v>
          </cell>
          <cell r="H12">
            <v>2.5</v>
          </cell>
        </row>
        <row r="13">
          <cell r="B13" t="str">
            <v>K.D.Peta</v>
          </cell>
          <cell r="F13" t="str">
            <v>100.00</v>
          </cell>
          <cell r="G13" t="str">
            <v>100.00</v>
          </cell>
          <cell r="H13">
            <v>2.5</v>
          </cell>
        </row>
        <row r="14">
          <cell r="B14" t="str">
            <v>K.Kotapadu</v>
          </cell>
          <cell r="F14" t="str">
            <v>100.00</v>
          </cell>
          <cell r="G14" t="str">
            <v>100.00</v>
          </cell>
          <cell r="H14">
            <v>2.5</v>
          </cell>
        </row>
        <row r="15">
          <cell r="B15" t="str">
            <v>Kasimkota</v>
          </cell>
          <cell r="C15">
            <v>1</v>
          </cell>
          <cell r="D15">
            <v>1</v>
          </cell>
          <cell r="E15">
            <v>1</v>
          </cell>
          <cell r="F15">
            <v>100</v>
          </cell>
          <cell r="G15">
            <v>100</v>
          </cell>
          <cell r="H15">
            <v>2.5</v>
          </cell>
        </row>
        <row r="16">
          <cell r="B16" t="str">
            <v>Kotavurtla</v>
          </cell>
          <cell r="F16" t="str">
            <v>100.00</v>
          </cell>
          <cell r="G16" t="str">
            <v>100.00</v>
          </cell>
          <cell r="H16">
            <v>2.5</v>
          </cell>
        </row>
        <row r="17">
          <cell r="B17" t="str">
            <v>Kothakota</v>
          </cell>
          <cell r="C17">
            <v>2</v>
          </cell>
          <cell r="D17">
            <v>2</v>
          </cell>
          <cell r="E17">
            <v>2</v>
          </cell>
          <cell r="F17">
            <v>100</v>
          </cell>
          <cell r="G17">
            <v>100</v>
          </cell>
          <cell r="H17">
            <v>2.5</v>
          </cell>
        </row>
        <row r="18">
          <cell r="B18" t="str">
            <v>Mahila UPS, Anakapalli</v>
          </cell>
          <cell r="F18" t="str">
            <v>100.00</v>
          </cell>
          <cell r="G18" t="str">
            <v>100.00</v>
          </cell>
          <cell r="H18">
            <v>2.5</v>
          </cell>
        </row>
        <row r="19">
          <cell r="B19" t="str">
            <v>Makavarapalem</v>
          </cell>
          <cell r="F19" t="str">
            <v>100.00</v>
          </cell>
          <cell r="G19" t="str">
            <v>100.00</v>
          </cell>
          <cell r="H19">
            <v>2.5</v>
          </cell>
        </row>
        <row r="20">
          <cell r="B20" t="str">
            <v>Munagapaka</v>
          </cell>
          <cell r="F20" t="str">
            <v>100.00</v>
          </cell>
          <cell r="G20" t="str">
            <v>100.00</v>
          </cell>
          <cell r="H20">
            <v>2.5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</v>
          </cell>
          <cell r="F21">
            <v>100</v>
          </cell>
          <cell r="G21">
            <v>100</v>
          </cell>
          <cell r="H21">
            <v>2.5</v>
          </cell>
        </row>
        <row r="22">
          <cell r="B22" t="str">
            <v>Narsipatnam Rural</v>
          </cell>
          <cell r="F22" t="str">
            <v>100.00</v>
          </cell>
          <cell r="G22" t="str">
            <v>100.00</v>
          </cell>
          <cell r="H22">
            <v>2.5</v>
          </cell>
        </row>
        <row r="23">
          <cell r="B23" t="str">
            <v>Narsipatnam Town</v>
          </cell>
          <cell r="F23" t="str">
            <v>100.00</v>
          </cell>
          <cell r="G23" t="str">
            <v>100.00</v>
          </cell>
          <cell r="H23">
            <v>2.5</v>
          </cell>
        </row>
        <row r="24">
          <cell r="B24" t="str">
            <v>Nathavaram</v>
          </cell>
          <cell r="C24">
            <v>3</v>
          </cell>
          <cell r="D24">
            <v>3</v>
          </cell>
          <cell r="E24">
            <v>3</v>
          </cell>
          <cell r="F24">
            <v>100</v>
          </cell>
          <cell r="G24">
            <v>100</v>
          </cell>
          <cell r="H24">
            <v>2.5</v>
          </cell>
        </row>
        <row r="25">
          <cell r="B25" t="str">
            <v>Parawada</v>
          </cell>
          <cell r="C25">
            <v>1</v>
          </cell>
          <cell r="D25">
            <v>1</v>
          </cell>
          <cell r="E25">
            <v>1</v>
          </cell>
          <cell r="F25">
            <v>100</v>
          </cell>
          <cell r="G25">
            <v>100</v>
          </cell>
          <cell r="H25">
            <v>2.5</v>
          </cell>
        </row>
        <row r="26">
          <cell r="B26" t="str">
            <v>Payakaraopeta</v>
          </cell>
          <cell r="F26" t="str">
            <v>100.00</v>
          </cell>
          <cell r="G26" t="str">
            <v>100.00</v>
          </cell>
          <cell r="H26">
            <v>2.5</v>
          </cell>
        </row>
        <row r="27">
          <cell r="B27" t="str">
            <v>Rambilli</v>
          </cell>
          <cell r="F27" t="str">
            <v>100.00</v>
          </cell>
          <cell r="G27" t="str">
            <v>100.00</v>
          </cell>
          <cell r="H27">
            <v>2.5</v>
          </cell>
        </row>
        <row r="28">
          <cell r="B28" t="str">
            <v>Ravikamatham</v>
          </cell>
          <cell r="F28" t="str">
            <v>100.00</v>
          </cell>
          <cell r="G28" t="str">
            <v>100.00</v>
          </cell>
          <cell r="H28">
            <v>2.5</v>
          </cell>
        </row>
        <row r="29">
          <cell r="B29" t="str">
            <v>Rolugunta</v>
          </cell>
          <cell r="F29" t="str">
            <v>100.00</v>
          </cell>
          <cell r="G29" t="str">
            <v>100.00</v>
          </cell>
          <cell r="H29">
            <v>2.5</v>
          </cell>
        </row>
        <row r="30">
          <cell r="B30" t="str">
            <v>S.Rayavaram</v>
          </cell>
          <cell r="F30" t="str">
            <v>100.00</v>
          </cell>
          <cell r="G30" t="str">
            <v>100.00</v>
          </cell>
          <cell r="H30">
            <v>2.5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</v>
          </cell>
          <cell r="F31">
            <v>100</v>
          </cell>
          <cell r="G31">
            <v>100</v>
          </cell>
          <cell r="H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</v>
          </cell>
          <cell r="F32">
            <v>100</v>
          </cell>
          <cell r="G32">
            <v>100</v>
          </cell>
          <cell r="H32">
            <v>2.5</v>
          </cell>
        </row>
        <row r="33">
          <cell r="B33" t="str">
            <v>Yelamanchili Rural</v>
          </cell>
          <cell r="F33" t="str">
            <v>100.00</v>
          </cell>
          <cell r="G33" t="str">
            <v>100.00</v>
          </cell>
          <cell r="H33">
            <v>2.5</v>
          </cell>
        </row>
        <row r="34">
          <cell r="B34" t="str">
            <v>Yelamanchili Town</v>
          </cell>
          <cell r="F34" t="str">
            <v>100.00</v>
          </cell>
          <cell r="G34" t="str">
            <v>100.00</v>
          </cell>
          <cell r="H34">
            <v>2.5</v>
          </cell>
        </row>
        <row r="35">
          <cell r="B35" t="str">
            <v>Yelamanchili Traffic</v>
          </cell>
          <cell r="F35" t="str">
            <v>100.00</v>
          </cell>
          <cell r="G35" t="str">
            <v>100.00</v>
          </cell>
          <cell r="H35">
            <v>2.5</v>
          </cell>
        </row>
        <row r="36">
          <cell r="C36">
            <v>18</v>
          </cell>
          <cell r="D36">
            <v>18</v>
          </cell>
          <cell r="E36">
            <v>18</v>
          </cell>
          <cell r="F36">
            <v>100</v>
          </cell>
          <cell r="G36">
            <v>100</v>
          </cell>
          <cell r="H36">
            <v>2.5</v>
          </cell>
        </row>
      </sheetData>
      <sheetData sheetId="2">
        <row r="2">
          <cell r="B2" t="str">
            <v>PS NAME</v>
          </cell>
          <cell r="C2" t="str">
            <v>Total Gandiva searches</v>
          </cell>
          <cell r="D2" t="str">
            <v>Total Sudarshan searches</v>
          </cell>
          <cell r="E2" t="str">
            <v>Gandiva
Raw Value</v>
          </cell>
          <cell r="F2" t="str">
            <v>Sudharshan Raw Value</v>
          </cell>
          <cell r="G2" t="str">
            <v>NATGRID
Raw Value</v>
          </cell>
          <cell r="H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</row>
      </sheetData>
      <sheetData sheetId="3">
        <row r="2">
          <cell r="B2" t="str">
            <v>Police Station</v>
          </cell>
          <cell r="C2" t="str">
            <v>SHO  Remarks</v>
          </cell>
          <cell r="D2" t="str">
            <v>RAW Value</v>
          </cell>
          <cell r="E2" t="str">
            <v>Marks</v>
          </cell>
        </row>
        <row r="3">
          <cell r="B3" t="str">
            <v>A.Koduru</v>
          </cell>
          <cell r="C3" t="str">
            <v>Submitted</v>
          </cell>
          <cell r="D3">
            <v>100</v>
          </cell>
          <cell r="E3">
            <v>2.5</v>
          </cell>
        </row>
        <row r="4">
          <cell r="B4" t="str">
            <v>Anakapalli Rural</v>
          </cell>
          <cell r="C4" t="str">
            <v>Submitted</v>
          </cell>
          <cell r="D4">
            <v>100</v>
          </cell>
          <cell r="E4">
            <v>2.5</v>
          </cell>
        </row>
        <row r="5">
          <cell r="B5" t="str">
            <v>Anakapalli Town</v>
          </cell>
          <cell r="C5" t="str">
            <v>Submitted</v>
          </cell>
          <cell r="D5">
            <v>100</v>
          </cell>
          <cell r="E5">
            <v>2.5</v>
          </cell>
        </row>
        <row r="6">
          <cell r="B6" t="str">
            <v>Anakapalli Traffic</v>
          </cell>
          <cell r="C6" t="str">
            <v>Submitted</v>
          </cell>
          <cell r="D6">
            <v>100</v>
          </cell>
          <cell r="E6">
            <v>2.5</v>
          </cell>
        </row>
        <row r="7">
          <cell r="B7" t="str">
            <v>Atchutapuram</v>
          </cell>
          <cell r="C7" t="str">
            <v>Submitted</v>
          </cell>
          <cell r="D7">
            <v>100</v>
          </cell>
          <cell r="E7">
            <v>2.5</v>
          </cell>
        </row>
        <row r="8">
          <cell r="B8" t="str">
            <v>Butchiyyapeta</v>
          </cell>
          <cell r="C8" t="str">
            <v>Submitted</v>
          </cell>
          <cell r="D8">
            <v>100</v>
          </cell>
          <cell r="E8">
            <v>2.5</v>
          </cell>
        </row>
        <row r="9">
          <cell r="B9" t="str">
            <v>Cheedikada</v>
          </cell>
          <cell r="C9" t="str">
            <v>Submitted</v>
          </cell>
          <cell r="D9">
            <v>100</v>
          </cell>
          <cell r="E9">
            <v>2.5</v>
          </cell>
        </row>
        <row r="10">
          <cell r="B10" t="str">
            <v>Chodavaram</v>
          </cell>
          <cell r="C10" t="str">
            <v>Submitted</v>
          </cell>
          <cell r="D10">
            <v>100</v>
          </cell>
          <cell r="E10">
            <v>2.5</v>
          </cell>
        </row>
        <row r="11">
          <cell r="B11" t="str">
            <v>Devarapalli</v>
          </cell>
          <cell r="C11" t="str">
            <v>Submitted</v>
          </cell>
          <cell r="D11">
            <v>100</v>
          </cell>
          <cell r="E11">
            <v>2.5</v>
          </cell>
        </row>
        <row r="12">
          <cell r="B12" t="str">
            <v>Golugonda</v>
          </cell>
          <cell r="C12" t="str">
            <v>Submitted</v>
          </cell>
          <cell r="D12">
            <v>100</v>
          </cell>
          <cell r="E12">
            <v>2.5</v>
          </cell>
        </row>
        <row r="13">
          <cell r="B13" t="str">
            <v>K.D.Peta</v>
          </cell>
          <cell r="C13" t="str">
            <v>Submitted</v>
          </cell>
          <cell r="D13">
            <v>100</v>
          </cell>
          <cell r="E13">
            <v>2.5</v>
          </cell>
        </row>
        <row r="14">
          <cell r="B14" t="str">
            <v>K.Kotapadu</v>
          </cell>
          <cell r="C14" t="str">
            <v>Submitted</v>
          </cell>
          <cell r="D14">
            <v>100</v>
          </cell>
          <cell r="E14">
            <v>2.5</v>
          </cell>
        </row>
        <row r="15">
          <cell r="B15" t="str">
            <v>Kasimkota</v>
          </cell>
          <cell r="C15" t="str">
            <v>Submitted</v>
          </cell>
          <cell r="D15">
            <v>100</v>
          </cell>
          <cell r="E15">
            <v>2.5</v>
          </cell>
        </row>
        <row r="16">
          <cell r="B16" t="str">
            <v>Kotavurtla</v>
          </cell>
          <cell r="C16" t="str">
            <v>Submitted</v>
          </cell>
          <cell r="D16">
            <v>100</v>
          </cell>
          <cell r="E16">
            <v>2.5</v>
          </cell>
        </row>
        <row r="17">
          <cell r="B17" t="str">
            <v>Kothakota</v>
          </cell>
          <cell r="C17" t="str">
            <v>Submitted</v>
          </cell>
          <cell r="D17">
            <v>100</v>
          </cell>
          <cell r="E17">
            <v>2.5</v>
          </cell>
        </row>
        <row r="18">
          <cell r="B18" t="str">
            <v>Mahila UPS, Anakapalli</v>
          </cell>
          <cell r="C18" t="str">
            <v>Submitted</v>
          </cell>
          <cell r="D18">
            <v>100</v>
          </cell>
          <cell r="E18">
            <v>2.5</v>
          </cell>
        </row>
        <row r="19">
          <cell r="B19" t="str">
            <v>Makavarapalem</v>
          </cell>
          <cell r="C19" t="str">
            <v>Submitted</v>
          </cell>
          <cell r="D19">
            <v>100</v>
          </cell>
          <cell r="E19">
            <v>2.5</v>
          </cell>
        </row>
        <row r="20">
          <cell r="B20" t="str">
            <v>Munagapaka</v>
          </cell>
          <cell r="C20" t="str">
            <v>Submitted</v>
          </cell>
          <cell r="D20">
            <v>100</v>
          </cell>
          <cell r="E20">
            <v>2.5</v>
          </cell>
        </row>
        <row r="21">
          <cell r="B21" t="str">
            <v>Nakkapalli</v>
          </cell>
          <cell r="C21" t="str">
            <v>Submitted</v>
          </cell>
          <cell r="D21">
            <v>100</v>
          </cell>
          <cell r="E21">
            <v>2.5</v>
          </cell>
        </row>
        <row r="22">
          <cell r="B22" t="str">
            <v>Narsipatnam Rural</v>
          </cell>
          <cell r="C22" t="str">
            <v>Submitted</v>
          </cell>
          <cell r="D22">
            <v>100</v>
          </cell>
          <cell r="E22">
            <v>2.5</v>
          </cell>
        </row>
        <row r="23">
          <cell r="B23" t="str">
            <v>Narsipatnam Town</v>
          </cell>
          <cell r="C23" t="str">
            <v>Submitted</v>
          </cell>
          <cell r="D23">
            <v>100</v>
          </cell>
          <cell r="E23">
            <v>2.5</v>
          </cell>
        </row>
        <row r="24">
          <cell r="B24" t="str">
            <v>Nathavaram</v>
          </cell>
          <cell r="C24" t="str">
            <v>Submitted</v>
          </cell>
          <cell r="D24">
            <v>100</v>
          </cell>
          <cell r="E24">
            <v>2.5</v>
          </cell>
        </row>
        <row r="25">
          <cell r="B25" t="str">
            <v>Parawada</v>
          </cell>
          <cell r="C25" t="str">
            <v>Submitted</v>
          </cell>
          <cell r="D25">
            <v>100</v>
          </cell>
          <cell r="E25">
            <v>2.5</v>
          </cell>
        </row>
        <row r="26">
          <cell r="B26" t="str">
            <v>Payakaraopeta</v>
          </cell>
          <cell r="C26" t="str">
            <v>Submitted</v>
          </cell>
          <cell r="D26">
            <v>100</v>
          </cell>
          <cell r="E26">
            <v>2.5</v>
          </cell>
        </row>
        <row r="27">
          <cell r="B27" t="str">
            <v>Rambilli</v>
          </cell>
          <cell r="C27" t="str">
            <v>Submitted</v>
          </cell>
          <cell r="D27">
            <v>100</v>
          </cell>
          <cell r="E27">
            <v>2.5</v>
          </cell>
        </row>
        <row r="28">
          <cell r="B28" t="str">
            <v>Ravikamatham</v>
          </cell>
          <cell r="C28" t="str">
            <v>Submitted</v>
          </cell>
          <cell r="D28">
            <v>100</v>
          </cell>
          <cell r="E28">
            <v>2.5</v>
          </cell>
        </row>
        <row r="29">
          <cell r="B29" t="str">
            <v>Rolugunta</v>
          </cell>
          <cell r="C29" t="str">
            <v>Submitted</v>
          </cell>
          <cell r="D29">
            <v>100</v>
          </cell>
          <cell r="E29">
            <v>2.5</v>
          </cell>
        </row>
        <row r="30">
          <cell r="B30" t="str">
            <v>S.Rayavaram</v>
          </cell>
          <cell r="C30" t="str">
            <v>Submitted</v>
          </cell>
          <cell r="D30">
            <v>100</v>
          </cell>
          <cell r="E30">
            <v>2.5</v>
          </cell>
        </row>
        <row r="31">
          <cell r="B31" t="str">
            <v>Sabbavaram</v>
          </cell>
          <cell r="C31" t="str">
            <v>Submitted</v>
          </cell>
          <cell r="D31">
            <v>100</v>
          </cell>
          <cell r="E31">
            <v>2.5</v>
          </cell>
        </row>
        <row r="32">
          <cell r="B32" t="str">
            <v>V.Madugula</v>
          </cell>
          <cell r="C32" t="str">
            <v>Submitted</v>
          </cell>
          <cell r="D32">
            <v>100</v>
          </cell>
          <cell r="E32">
            <v>2.5</v>
          </cell>
        </row>
        <row r="33">
          <cell r="B33" t="str">
            <v>Yelamanchili Rural</v>
          </cell>
          <cell r="C33" t="str">
            <v>Submitted</v>
          </cell>
          <cell r="D33">
            <v>100</v>
          </cell>
          <cell r="E33">
            <v>2.5</v>
          </cell>
        </row>
        <row r="34">
          <cell r="B34" t="str">
            <v>Yelamanchili Town</v>
          </cell>
          <cell r="C34" t="str">
            <v>Submitted</v>
          </cell>
          <cell r="D34">
            <v>100</v>
          </cell>
          <cell r="E34">
            <v>2.5</v>
          </cell>
        </row>
        <row r="35">
          <cell r="B35" t="str">
            <v>Yelamanchili Traffic</v>
          </cell>
          <cell r="C35" t="str">
            <v>Submitted</v>
          </cell>
          <cell r="D35">
            <v>100</v>
          </cell>
          <cell r="E35">
            <v>2.5</v>
          </cell>
        </row>
        <row r="36">
          <cell r="D36">
            <v>100</v>
          </cell>
        </row>
      </sheetData>
      <sheetData sheetId="4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1607</v>
          </cell>
          <cell r="D3">
            <v>1732</v>
          </cell>
          <cell r="E3">
            <v>542</v>
          </cell>
          <cell r="F3">
            <v>98</v>
          </cell>
          <cell r="G3">
            <v>11556</v>
          </cell>
          <cell r="H3">
            <v>6756</v>
          </cell>
          <cell r="I3">
            <v>1375</v>
          </cell>
          <cell r="J3">
            <v>496</v>
          </cell>
          <cell r="K3">
            <v>581</v>
          </cell>
          <cell r="L3">
            <v>1613</v>
          </cell>
          <cell r="M3">
            <v>15.400746733042936</v>
          </cell>
          <cell r="N3">
            <v>100</v>
          </cell>
          <cell r="O3">
            <v>2.5</v>
          </cell>
        </row>
        <row r="4">
          <cell r="B4" t="str">
            <v>Anakapalli Rural</v>
          </cell>
          <cell r="C4">
            <v>3635</v>
          </cell>
          <cell r="D4">
            <v>3246</v>
          </cell>
          <cell r="E4">
            <v>1401</v>
          </cell>
          <cell r="F4">
            <v>392</v>
          </cell>
          <cell r="G4">
            <v>12348</v>
          </cell>
          <cell r="H4">
            <v>16980</v>
          </cell>
          <cell r="I4">
            <v>3503</v>
          </cell>
          <cell r="J4">
            <v>1449</v>
          </cell>
          <cell r="K4">
            <v>2600</v>
          </cell>
          <cell r="L4">
            <v>4256</v>
          </cell>
          <cell r="M4">
            <v>12.702888583218707</v>
          </cell>
          <cell r="N4">
            <v>96.11</v>
          </cell>
          <cell r="O4">
            <v>2.4027500000000002</v>
          </cell>
        </row>
        <row r="5">
          <cell r="B5" t="str">
            <v>Anakapalli Town</v>
          </cell>
          <cell r="C5">
            <v>6261</v>
          </cell>
          <cell r="D5">
            <v>4016</v>
          </cell>
          <cell r="E5">
            <v>2218</v>
          </cell>
          <cell r="F5">
            <v>440</v>
          </cell>
          <cell r="G5">
            <v>20778</v>
          </cell>
          <cell r="H5">
            <v>21270</v>
          </cell>
          <cell r="I5">
            <v>5405</v>
          </cell>
          <cell r="J5">
            <v>3315</v>
          </cell>
          <cell r="K5">
            <v>3290</v>
          </cell>
          <cell r="L5">
            <v>5810</v>
          </cell>
          <cell r="M5">
            <v>10.628014694138317</v>
          </cell>
          <cell r="N5">
            <v>80.41</v>
          </cell>
          <cell r="O5">
            <v>2.0102500000000001</v>
          </cell>
        </row>
        <row r="6">
          <cell r="B6" t="str">
            <v>Anakapalli Traffic</v>
          </cell>
          <cell r="C6">
            <v>1009</v>
          </cell>
          <cell r="D6">
            <v>1039</v>
          </cell>
          <cell r="E6">
            <v>519</v>
          </cell>
          <cell r="F6">
            <v>0</v>
          </cell>
          <cell r="G6">
            <v>3888</v>
          </cell>
          <cell r="H6">
            <v>5810</v>
          </cell>
          <cell r="I6">
            <v>1329</v>
          </cell>
          <cell r="J6">
            <v>162</v>
          </cell>
          <cell r="K6">
            <v>988</v>
          </cell>
          <cell r="L6">
            <v>913</v>
          </cell>
          <cell r="M6">
            <v>14.517343904856293</v>
          </cell>
          <cell r="N6">
            <v>100</v>
          </cell>
          <cell r="O6">
            <v>2.5</v>
          </cell>
        </row>
        <row r="7">
          <cell r="B7" t="str">
            <v>Atchutapuram</v>
          </cell>
          <cell r="C7">
            <v>3345</v>
          </cell>
          <cell r="D7">
            <v>3244</v>
          </cell>
          <cell r="E7">
            <v>1019</v>
          </cell>
          <cell r="F7">
            <v>676</v>
          </cell>
          <cell r="G7">
            <v>12096</v>
          </cell>
          <cell r="H7">
            <v>14920</v>
          </cell>
          <cell r="I7">
            <v>2880</v>
          </cell>
          <cell r="J7">
            <v>1448</v>
          </cell>
          <cell r="K7">
            <v>1439</v>
          </cell>
          <cell r="L7">
            <v>4558</v>
          </cell>
          <cell r="M7">
            <v>12.639760837070254</v>
          </cell>
          <cell r="N7">
            <v>95.63</v>
          </cell>
          <cell r="O7">
            <v>2.3907500000000002</v>
          </cell>
        </row>
        <row r="8">
          <cell r="B8" t="str">
            <v>Butchiyyapeta</v>
          </cell>
          <cell r="C8">
            <v>2525</v>
          </cell>
          <cell r="D8">
            <v>1895</v>
          </cell>
          <cell r="E8">
            <v>1194</v>
          </cell>
          <cell r="F8">
            <v>109</v>
          </cell>
          <cell r="G8">
            <v>8553</v>
          </cell>
          <cell r="H8">
            <v>11415</v>
          </cell>
          <cell r="I8">
            <v>2223</v>
          </cell>
          <cell r="J8">
            <v>804</v>
          </cell>
          <cell r="K8">
            <v>945</v>
          </cell>
          <cell r="L8">
            <v>2757</v>
          </cell>
          <cell r="M8">
            <v>11.83960396039604</v>
          </cell>
          <cell r="N8">
            <v>89.57</v>
          </cell>
          <cell r="O8">
            <v>2.2392499999999997</v>
          </cell>
        </row>
        <row r="9">
          <cell r="B9" t="str">
            <v>Cheedikada</v>
          </cell>
          <cell r="C9">
            <v>1709</v>
          </cell>
          <cell r="D9">
            <v>1786</v>
          </cell>
          <cell r="E9">
            <v>781</v>
          </cell>
          <cell r="F9">
            <v>702</v>
          </cell>
          <cell r="G9">
            <v>14033</v>
          </cell>
          <cell r="H9">
            <v>6897</v>
          </cell>
          <cell r="I9">
            <v>1414</v>
          </cell>
          <cell r="J9">
            <v>548</v>
          </cell>
          <cell r="K9">
            <v>624</v>
          </cell>
          <cell r="L9">
            <v>1448</v>
          </cell>
          <cell r="M9">
            <v>16.52018724400234</v>
          </cell>
          <cell r="N9">
            <v>100</v>
          </cell>
          <cell r="O9">
            <v>2.5</v>
          </cell>
        </row>
        <row r="10">
          <cell r="B10" t="str">
            <v>Chodavaram</v>
          </cell>
          <cell r="C10">
            <v>4702</v>
          </cell>
          <cell r="D10">
            <v>3201</v>
          </cell>
          <cell r="E10">
            <v>2440</v>
          </cell>
          <cell r="F10">
            <v>258</v>
          </cell>
          <cell r="G10">
            <v>18829</v>
          </cell>
          <cell r="H10">
            <v>20999</v>
          </cell>
          <cell r="I10">
            <v>4032</v>
          </cell>
          <cell r="J10">
            <v>1522</v>
          </cell>
          <cell r="K10">
            <v>1838</v>
          </cell>
          <cell r="L10">
            <v>5225</v>
          </cell>
          <cell r="M10">
            <v>12.408336877924288</v>
          </cell>
          <cell r="N10">
            <v>93.88</v>
          </cell>
          <cell r="O10">
            <v>2.347</v>
          </cell>
        </row>
        <row r="11">
          <cell r="B11" t="str">
            <v>Devarapalli</v>
          </cell>
          <cell r="C11">
            <v>2760</v>
          </cell>
          <cell r="D11">
            <v>2900</v>
          </cell>
          <cell r="E11">
            <v>920</v>
          </cell>
          <cell r="F11">
            <v>76</v>
          </cell>
          <cell r="G11">
            <v>9461</v>
          </cell>
          <cell r="H11">
            <v>11080</v>
          </cell>
          <cell r="I11">
            <v>2283</v>
          </cell>
          <cell r="J11">
            <v>855</v>
          </cell>
          <cell r="K11">
            <v>852</v>
          </cell>
          <cell r="L11">
            <v>3590</v>
          </cell>
          <cell r="M11">
            <v>11.600362318840579</v>
          </cell>
          <cell r="N11">
            <v>87.76</v>
          </cell>
          <cell r="O11">
            <v>2.1940000000000004</v>
          </cell>
        </row>
        <row r="12">
          <cell r="B12" t="str">
            <v>Golugonda</v>
          </cell>
          <cell r="C12">
            <v>1608</v>
          </cell>
          <cell r="D12">
            <v>1845</v>
          </cell>
          <cell r="E12">
            <v>1294</v>
          </cell>
          <cell r="F12">
            <v>44</v>
          </cell>
          <cell r="G12">
            <v>9748</v>
          </cell>
          <cell r="H12">
            <v>7704</v>
          </cell>
          <cell r="I12">
            <v>1642</v>
          </cell>
          <cell r="J12">
            <v>708</v>
          </cell>
          <cell r="K12">
            <v>676</v>
          </cell>
          <cell r="L12">
            <v>1913</v>
          </cell>
          <cell r="M12">
            <v>15.904228855721392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1042</v>
          </cell>
          <cell r="D13">
            <v>1038</v>
          </cell>
          <cell r="E13">
            <v>792</v>
          </cell>
          <cell r="F13">
            <v>117</v>
          </cell>
          <cell r="G13">
            <v>3018</v>
          </cell>
          <cell r="H13">
            <v>4813</v>
          </cell>
          <cell r="I13">
            <v>943</v>
          </cell>
          <cell r="J13">
            <v>354</v>
          </cell>
          <cell r="K13">
            <v>262</v>
          </cell>
          <cell r="L13">
            <v>898</v>
          </cell>
          <cell r="M13">
            <v>11.741842610364683</v>
          </cell>
          <cell r="N13">
            <v>88.83</v>
          </cell>
          <cell r="O13">
            <v>2.2207500000000002</v>
          </cell>
        </row>
        <row r="14">
          <cell r="B14" t="str">
            <v>K.Kotapadu</v>
          </cell>
          <cell r="C14">
            <v>1778</v>
          </cell>
          <cell r="D14">
            <v>1818</v>
          </cell>
          <cell r="E14">
            <v>546</v>
          </cell>
          <cell r="F14">
            <v>99</v>
          </cell>
          <cell r="G14">
            <v>7319</v>
          </cell>
          <cell r="H14">
            <v>8934</v>
          </cell>
          <cell r="I14">
            <v>1550</v>
          </cell>
          <cell r="J14">
            <v>550</v>
          </cell>
          <cell r="K14">
            <v>664</v>
          </cell>
          <cell r="L14">
            <v>2118</v>
          </cell>
          <cell r="M14">
            <v>13.272215973003375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3726</v>
          </cell>
          <cell r="D15">
            <v>3779</v>
          </cell>
          <cell r="E15">
            <v>1663</v>
          </cell>
          <cell r="F15">
            <v>233</v>
          </cell>
          <cell r="G15">
            <v>17035</v>
          </cell>
          <cell r="H15">
            <v>16062</v>
          </cell>
          <cell r="I15">
            <v>3246</v>
          </cell>
          <cell r="J15">
            <v>1460</v>
          </cell>
          <cell r="K15">
            <v>2435</v>
          </cell>
          <cell r="L15">
            <v>3091</v>
          </cell>
          <cell r="M15">
            <v>13.151905528717123</v>
          </cell>
          <cell r="N15">
            <v>99.5</v>
          </cell>
          <cell r="O15">
            <v>2.4875000000000003</v>
          </cell>
        </row>
        <row r="16">
          <cell r="B16" t="str">
            <v>Kotavurtla</v>
          </cell>
          <cell r="C16">
            <v>2346</v>
          </cell>
          <cell r="D16">
            <v>1840</v>
          </cell>
          <cell r="E16">
            <v>696</v>
          </cell>
          <cell r="F16">
            <v>261</v>
          </cell>
          <cell r="G16">
            <v>12558</v>
          </cell>
          <cell r="H16">
            <v>6949</v>
          </cell>
          <cell r="I16">
            <v>2200</v>
          </cell>
          <cell r="J16">
            <v>674</v>
          </cell>
          <cell r="K16">
            <v>651</v>
          </cell>
          <cell r="L16">
            <v>2861</v>
          </cell>
          <cell r="M16">
            <v>12.229326513213982</v>
          </cell>
          <cell r="N16">
            <v>92.52</v>
          </cell>
          <cell r="O16">
            <v>2.3130000000000002</v>
          </cell>
        </row>
        <row r="17">
          <cell r="B17" t="str">
            <v>Kothakota</v>
          </cell>
          <cell r="C17">
            <v>1929</v>
          </cell>
          <cell r="D17">
            <v>1942</v>
          </cell>
          <cell r="E17">
            <v>722</v>
          </cell>
          <cell r="F17">
            <v>941</v>
          </cell>
          <cell r="G17">
            <v>7573</v>
          </cell>
          <cell r="H17">
            <v>8457</v>
          </cell>
          <cell r="I17">
            <v>1723</v>
          </cell>
          <cell r="J17">
            <v>706</v>
          </cell>
          <cell r="K17">
            <v>652</v>
          </cell>
          <cell r="L17">
            <v>1967</v>
          </cell>
          <cell r="M17">
            <v>12.795749092794194</v>
          </cell>
          <cell r="N17">
            <v>96.81</v>
          </cell>
          <cell r="O17">
            <v>2.4202500000000002</v>
          </cell>
        </row>
        <row r="18">
          <cell r="B18" t="str">
            <v>Mahila UPS, Anakapalli</v>
          </cell>
          <cell r="C18">
            <v>844</v>
          </cell>
          <cell r="D18">
            <v>559</v>
          </cell>
          <cell r="E18">
            <v>80</v>
          </cell>
          <cell r="F18">
            <v>5</v>
          </cell>
          <cell r="G18">
            <v>3696</v>
          </cell>
          <cell r="H18">
            <v>7708</v>
          </cell>
          <cell r="I18">
            <v>1019</v>
          </cell>
          <cell r="J18">
            <v>25</v>
          </cell>
          <cell r="K18">
            <v>419</v>
          </cell>
          <cell r="L18">
            <v>2852</v>
          </cell>
          <cell r="M18">
            <v>19.387440758293838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2724</v>
          </cell>
          <cell r="D19">
            <v>1011</v>
          </cell>
          <cell r="E19">
            <v>799</v>
          </cell>
          <cell r="F19">
            <v>247</v>
          </cell>
          <cell r="G19">
            <v>16839</v>
          </cell>
          <cell r="H19">
            <v>9231</v>
          </cell>
          <cell r="I19">
            <v>2518</v>
          </cell>
          <cell r="J19">
            <v>883</v>
          </cell>
          <cell r="K19">
            <v>1411</v>
          </cell>
          <cell r="L19">
            <v>3057</v>
          </cell>
          <cell r="M19">
            <v>13.214390602055801</v>
          </cell>
          <cell r="N19">
            <v>99.98</v>
          </cell>
          <cell r="O19">
            <v>2.4995000000000003</v>
          </cell>
        </row>
        <row r="20">
          <cell r="B20" t="str">
            <v>Munagapaka</v>
          </cell>
          <cell r="C20">
            <v>2458</v>
          </cell>
          <cell r="D20">
            <v>2582</v>
          </cell>
          <cell r="E20">
            <v>749</v>
          </cell>
          <cell r="F20">
            <v>124</v>
          </cell>
          <cell r="G20">
            <v>9593</v>
          </cell>
          <cell r="H20">
            <v>11066</v>
          </cell>
          <cell r="I20">
            <v>1987</v>
          </cell>
          <cell r="J20">
            <v>1060</v>
          </cell>
          <cell r="K20">
            <v>1321</v>
          </cell>
          <cell r="L20">
            <v>3333</v>
          </cell>
          <cell r="M20">
            <v>12.943449959316517</v>
          </cell>
          <cell r="N20">
            <v>97.93</v>
          </cell>
          <cell r="O20">
            <v>2.4482500000000003</v>
          </cell>
        </row>
        <row r="21">
          <cell r="B21" t="str">
            <v>Nakkapalli</v>
          </cell>
          <cell r="C21">
            <v>3279</v>
          </cell>
          <cell r="D21">
            <v>3311</v>
          </cell>
          <cell r="E21">
            <v>673</v>
          </cell>
          <cell r="F21">
            <v>1013</v>
          </cell>
          <cell r="G21">
            <v>24453</v>
          </cell>
          <cell r="H21">
            <v>14826</v>
          </cell>
          <cell r="I21">
            <v>2964</v>
          </cell>
          <cell r="J21">
            <v>1364</v>
          </cell>
          <cell r="K21">
            <v>1324</v>
          </cell>
          <cell r="L21">
            <v>3864</v>
          </cell>
          <cell r="M21">
            <v>16.405001524855138</v>
          </cell>
          <cell r="N21">
            <v>100</v>
          </cell>
          <cell r="O21">
            <v>2.5</v>
          </cell>
        </row>
        <row r="22">
          <cell r="B22" t="str">
            <v>Narsipatnam Rural</v>
          </cell>
          <cell r="C22">
            <v>1490</v>
          </cell>
          <cell r="D22">
            <v>1522</v>
          </cell>
          <cell r="E22">
            <v>798</v>
          </cell>
          <cell r="F22">
            <v>122</v>
          </cell>
          <cell r="G22">
            <v>5934</v>
          </cell>
          <cell r="H22">
            <v>6860</v>
          </cell>
          <cell r="I22">
            <v>1429</v>
          </cell>
          <cell r="J22">
            <v>626</v>
          </cell>
          <cell r="K22">
            <v>778</v>
          </cell>
          <cell r="L22">
            <v>1662</v>
          </cell>
          <cell r="M22">
            <v>13.24228187919463</v>
          </cell>
          <cell r="N22">
            <v>100</v>
          </cell>
          <cell r="O22">
            <v>2.5</v>
          </cell>
        </row>
        <row r="23">
          <cell r="B23" t="str">
            <v>Narsipatnam Town</v>
          </cell>
          <cell r="C23">
            <v>4336</v>
          </cell>
          <cell r="D23">
            <v>4104</v>
          </cell>
          <cell r="E23">
            <v>2284</v>
          </cell>
          <cell r="F23">
            <v>349</v>
          </cell>
          <cell r="G23">
            <v>11920</v>
          </cell>
          <cell r="H23">
            <v>17550</v>
          </cell>
          <cell r="I23">
            <v>4210</v>
          </cell>
          <cell r="J23">
            <v>1825</v>
          </cell>
          <cell r="K23">
            <v>1495</v>
          </cell>
          <cell r="L23">
            <v>4564</v>
          </cell>
          <cell r="M23">
            <v>11.139529520295204</v>
          </cell>
          <cell r="N23">
            <v>84.28</v>
          </cell>
          <cell r="O23">
            <v>2.1070000000000002</v>
          </cell>
        </row>
        <row r="24">
          <cell r="B24" t="str">
            <v>Nathavaram</v>
          </cell>
          <cell r="C24">
            <v>2369</v>
          </cell>
          <cell r="D24">
            <v>2209</v>
          </cell>
          <cell r="E24">
            <v>1108</v>
          </cell>
          <cell r="F24">
            <v>40</v>
          </cell>
          <cell r="G24">
            <v>6402</v>
          </cell>
          <cell r="H24">
            <v>9458</v>
          </cell>
          <cell r="I24">
            <v>2118</v>
          </cell>
          <cell r="J24">
            <v>1009</v>
          </cell>
          <cell r="K24">
            <v>933</v>
          </cell>
          <cell r="L24">
            <v>2914</v>
          </cell>
          <cell r="M24">
            <v>11.055719712959055</v>
          </cell>
          <cell r="N24">
            <v>83.64</v>
          </cell>
          <cell r="O24">
            <v>2.0910000000000002</v>
          </cell>
        </row>
        <row r="25">
          <cell r="B25" t="str">
            <v>Parawada</v>
          </cell>
          <cell r="C25">
            <v>3745</v>
          </cell>
          <cell r="D25">
            <v>1781</v>
          </cell>
          <cell r="E25">
            <v>2332</v>
          </cell>
          <cell r="F25">
            <v>441</v>
          </cell>
          <cell r="G25">
            <v>18046</v>
          </cell>
          <cell r="H25">
            <v>19046</v>
          </cell>
          <cell r="I25">
            <v>3146</v>
          </cell>
          <cell r="J25">
            <v>1822</v>
          </cell>
          <cell r="K25">
            <v>2017</v>
          </cell>
          <cell r="L25">
            <v>3976</v>
          </cell>
          <cell r="M25">
            <v>14.047263017356475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3928</v>
          </cell>
          <cell r="D26">
            <v>3246</v>
          </cell>
          <cell r="E26">
            <v>1663</v>
          </cell>
          <cell r="F26">
            <v>192</v>
          </cell>
          <cell r="G26">
            <v>23519</v>
          </cell>
          <cell r="H26">
            <v>18183</v>
          </cell>
          <cell r="I26">
            <v>3321</v>
          </cell>
          <cell r="J26">
            <v>1683</v>
          </cell>
          <cell r="K26">
            <v>1306</v>
          </cell>
          <cell r="L26">
            <v>5198</v>
          </cell>
          <cell r="M26">
            <v>14.844959266802444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2467</v>
          </cell>
          <cell r="D27">
            <v>2786</v>
          </cell>
          <cell r="E27">
            <v>716</v>
          </cell>
          <cell r="F27">
            <v>80</v>
          </cell>
          <cell r="G27">
            <v>13230</v>
          </cell>
          <cell r="H27">
            <v>10402</v>
          </cell>
          <cell r="I27">
            <v>2093</v>
          </cell>
          <cell r="J27">
            <v>1131</v>
          </cell>
          <cell r="K27">
            <v>1146</v>
          </cell>
          <cell r="L27">
            <v>2994</v>
          </cell>
          <cell r="M27">
            <v>14.016214025131738</v>
          </cell>
          <cell r="N27">
            <v>100</v>
          </cell>
          <cell r="O27">
            <v>2.5</v>
          </cell>
        </row>
        <row r="28">
          <cell r="B28" t="str">
            <v>Ravikamatham</v>
          </cell>
          <cell r="C28">
            <v>2179</v>
          </cell>
          <cell r="D28">
            <v>1754</v>
          </cell>
          <cell r="E28">
            <v>710</v>
          </cell>
          <cell r="F28">
            <v>222</v>
          </cell>
          <cell r="G28">
            <v>12640</v>
          </cell>
          <cell r="H28">
            <v>7036</v>
          </cell>
          <cell r="I28">
            <v>2218</v>
          </cell>
          <cell r="J28">
            <v>515</v>
          </cell>
          <cell r="K28">
            <v>824</v>
          </cell>
          <cell r="L28">
            <v>2561</v>
          </cell>
          <cell r="M28">
            <v>13.070215695273061</v>
          </cell>
          <cell r="N28">
            <v>98.88</v>
          </cell>
          <cell r="O28">
            <v>2.472</v>
          </cell>
        </row>
        <row r="29">
          <cell r="B29" t="str">
            <v>Rolugunta</v>
          </cell>
          <cell r="C29">
            <v>1967</v>
          </cell>
          <cell r="D29">
            <v>1625</v>
          </cell>
          <cell r="E29">
            <v>1573</v>
          </cell>
          <cell r="F29">
            <v>226</v>
          </cell>
          <cell r="G29">
            <v>7319</v>
          </cell>
          <cell r="H29">
            <v>7744</v>
          </cell>
          <cell r="I29">
            <v>1803</v>
          </cell>
          <cell r="J29">
            <v>883</v>
          </cell>
          <cell r="K29">
            <v>671</v>
          </cell>
          <cell r="L29">
            <v>1882</v>
          </cell>
          <cell r="M29">
            <v>12.062023385866802</v>
          </cell>
          <cell r="N29">
            <v>91.26</v>
          </cell>
          <cell r="O29">
            <v>2.2815000000000003</v>
          </cell>
        </row>
        <row r="30">
          <cell r="B30" t="str">
            <v>S.Rayavaram</v>
          </cell>
          <cell r="C30">
            <v>3612</v>
          </cell>
          <cell r="D30">
            <v>3721</v>
          </cell>
          <cell r="E30">
            <v>969</v>
          </cell>
          <cell r="F30">
            <v>206</v>
          </cell>
          <cell r="G30">
            <v>7309</v>
          </cell>
          <cell r="H30">
            <v>14614</v>
          </cell>
          <cell r="I30">
            <v>3158</v>
          </cell>
          <cell r="J30">
            <v>1515</v>
          </cell>
          <cell r="K30">
            <v>1327</v>
          </cell>
          <cell r="L30">
            <v>4014</v>
          </cell>
          <cell r="M30">
            <v>10.197397563676633</v>
          </cell>
          <cell r="N30">
            <v>77.150000000000006</v>
          </cell>
          <cell r="O30">
            <v>1.9287500000000002</v>
          </cell>
        </row>
        <row r="31">
          <cell r="B31" t="str">
            <v>Sabbavaram</v>
          </cell>
          <cell r="C31">
            <v>3452</v>
          </cell>
          <cell r="D31">
            <v>3339</v>
          </cell>
          <cell r="E31">
            <v>1015</v>
          </cell>
          <cell r="F31">
            <v>228</v>
          </cell>
          <cell r="G31">
            <v>13940</v>
          </cell>
          <cell r="H31">
            <v>12402</v>
          </cell>
          <cell r="I31">
            <v>3249</v>
          </cell>
          <cell r="J31">
            <v>1255</v>
          </cell>
          <cell r="K31">
            <v>2384</v>
          </cell>
          <cell r="L31">
            <v>4005</v>
          </cell>
          <cell r="M31">
            <v>12.113847045191193</v>
          </cell>
          <cell r="N31">
            <v>91.65</v>
          </cell>
          <cell r="O31">
            <v>2.2912500000000002</v>
          </cell>
        </row>
        <row r="32">
          <cell r="B32" t="str">
            <v>V.Madugula</v>
          </cell>
          <cell r="C32">
            <v>2819</v>
          </cell>
          <cell r="D32">
            <v>2886</v>
          </cell>
          <cell r="E32">
            <v>1517</v>
          </cell>
          <cell r="F32">
            <v>155</v>
          </cell>
          <cell r="G32">
            <v>7673</v>
          </cell>
          <cell r="H32">
            <v>12617</v>
          </cell>
          <cell r="I32">
            <v>2592</v>
          </cell>
          <cell r="J32">
            <v>978</v>
          </cell>
          <cell r="K32">
            <v>1104</v>
          </cell>
          <cell r="L32">
            <v>3394</v>
          </cell>
          <cell r="M32">
            <v>11.67648102163888</v>
          </cell>
          <cell r="N32">
            <v>88.34</v>
          </cell>
          <cell r="O32">
            <v>2.2085000000000004</v>
          </cell>
        </row>
        <row r="33">
          <cell r="B33" t="str">
            <v>Yelamanchili Rural</v>
          </cell>
          <cell r="C33">
            <v>2303</v>
          </cell>
          <cell r="D33">
            <v>2250</v>
          </cell>
          <cell r="E33">
            <v>533</v>
          </cell>
          <cell r="F33">
            <v>376</v>
          </cell>
          <cell r="G33">
            <v>13348</v>
          </cell>
          <cell r="H33">
            <v>10146</v>
          </cell>
          <cell r="I33">
            <v>2110</v>
          </cell>
          <cell r="J33">
            <v>830</v>
          </cell>
          <cell r="K33">
            <v>1012</v>
          </cell>
          <cell r="L33">
            <v>2739</v>
          </cell>
          <cell r="M33">
            <v>14.478506296135475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1834</v>
          </cell>
          <cell r="D34">
            <v>1693</v>
          </cell>
          <cell r="E34">
            <v>430</v>
          </cell>
          <cell r="F34">
            <v>408</v>
          </cell>
          <cell r="G34">
            <v>10853</v>
          </cell>
          <cell r="H34">
            <v>7879</v>
          </cell>
          <cell r="I34">
            <v>1732</v>
          </cell>
          <cell r="J34">
            <v>744</v>
          </cell>
          <cell r="K34">
            <v>735</v>
          </cell>
          <cell r="L34">
            <v>1563</v>
          </cell>
          <cell r="M34">
            <v>14.196837513631406</v>
          </cell>
          <cell r="N34">
            <v>100</v>
          </cell>
          <cell r="O34">
            <v>2.5</v>
          </cell>
        </row>
        <row r="35">
          <cell r="B35" t="str">
            <v>Yelamanchili Traffic</v>
          </cell>
          <cell r="C35">
            <v>46</v>
          </cell>
          <cell r="D35">
            <v>46</v>
          </cell>
          <cell r="E35">
            <v>0</v>
          </cell>
          <cell r="F35">
            <v>0</v>
          </cell>
          <cell r="G35">
            <v>196</v>
          </cell>
          <cell r="H35">
            <v>144</v>
          </cell>
          <cell r="I35">
            <v>45</v>
          </cell>
          <cell r="J35">
            <v>0</v>
          </cell>
          <cell r="K35">
            <v>17</v>
          </cell>
          <cell r="L35">
            <v>46</v>
          </cell>
          <cell r="M35">
            <v>10.739130434782609</v>
          </cell>
          <cell r="N35">
            <v>81.25</v>
          </cell>
          <cell r="O35">
            <v>2.03125</v>
          </cell>
        </row>
        <row r="36">
          <cell r="C36">
            <v>85834</v>
          </cell>
          <cell r="D36">
            <v>75746</v>
          </cell>
          <cell r="E36">
            <v>34696</v>
          </cell>
          <cell r="F36">
            <v>8880</v>
          </cell>
          <cell r="G36">
            <v>375703</v>
          </cell>
          <cell r="H36">
            <v>365958</v>
          </cell>
          <cell r="I36">
            <v>77460</v>
          </cell>
          <cell r="J36">
            <v>33199</v>
          </cell>
          <cell r="K36">
            <v>38721</v>
          </cell>
          <cell r="L36">
            <v>97636</v>
          </cell>
          <cell r="M36">
            <v>13.217672816659439</v>
          </cell>
          <cell r="N36">
            <v>94.40545454545456</v>
          </cell>
          <cell r="O36">
            <v>2.3601363636363639</v>
          </cell>
        </row>
      </sheetData>
      <sheetData sheetId="5">
        <row r="2">
          <cell r="B2" t="str">
            <v>PS</v>
          </cell>
          <cell r="C2" t="str">
            <v>FIR</v>
          </cell>
          <cell r="D2" t="str">
            <v>CDF</v>
          </cell>
          <cell r="E2" t="str">
            <v>ACS</v>
          </cell>
          <cell r="F2" t="str">
            <v>PSS</v>
          </cell>
          <cell r="G2" t="str">
            <v>CD PartI</v>
          </cell>
          <cell r="H2" t="str">
            <v>CD Part II</v>
          </cell>
          <cell r="I2" t="str">
            <v xml:space="preserve"> Charge Sheet</v>
          </cell>
          <cell r="J2" t="str">
            <v>Final Report</v>
          </cell>
          <cell r="K2" t="str">
            <v>Court Disposal</v>
          </cell>
          <cell r="L2" t="str">
            <v>41 Crpc</v>
          </cell>
          <cell r="M2" t="str">
            <v>Forms per FIR</v>
          </cell>
          <cell r="N2" t="str">
            <v>Raw Value</v>
          </cell>
          <cell r="O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50</v>
          </cell>
          <cell r="O3">
            <v>1.25</v>
          </cell>
        </row>
        <row r="4">
          <cell r="B4" t="str">
            <v>Anakapalli Rural</v>
          </cell>
          <cell r="C4">
            <v>4</v>
          </cell>
          <cell r="D4">
            <v>0</v>
          </cell>
          <cell r="E4">
            <v>0</v>
          </cell>
          <cell r="F4">
            <v>0</v>
          </cell>
          <cell r="G4">
            <v>17</v>
          </cell>
          <cell r="H4">
            <v>14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7.75</v>
          </cell>
          <cell r="N4">
            <v>100</v>
          </cell>
          <cell r="O4">
            <v>2.5</v>
          </cell>
        </row>
        <row r="5">
          <cell r="B5" t="str">
            <v>Anakapalli Town</v>
          </cell>
          <cell r="C5">
            <v>2</v>
          </cell>
          <cell r="D5">
            <v>2</v>
          </cell>
          <cell r="E5">
            <v>0</v>
          </cell>
          <cell r="F5">
            <v>0</v>
          </cell>
          <cell r="G5">
            <v>2</v>
          </cell>
          <cell r="H5">
            <v>6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</v>
          </cell>
          <cell r="N5">
            <v>74.39</v>
          </cell>
          <cell r="O5">
            <v>1.85975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</v>
          </cell>
          <cell r="H6">
            <v>2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4</v>
          </cell>
          <cell r="N6">
            <v>59.51</v>
          </cell>
          <cell r="O6">
            <v>1.4877500000000001</v>
          </cell>
        </row>
        <row r="7">
          <cell r="B7" t="str">
            <v>Atchutapuram</v>
          </cell>
          <cell r="C7">
            <v>6</v>
          </cell>
          <cell r="D7">
            <v>6</v>
          </cell>
          <cell r="E7">
            <v>0</v>
          </cell>
          <cell r="F7">
            <v>1</v>
          </cell>
          <cell r="G7">
            <v>42</v>
          </cell>
          <cell r="H7">
            <v>25</v>
          </cell>
          <cell r="I7">
            <v>0</v>
          </cell>
          <cell r="J7">
            <v>0</v>
          </cell>
          <cell r="K7">
            <v>0</v>
          </cell>
          <cell r="L7">
            <v>1</v>
          </cell>
          <cell r="M7">
            <v>12.5</v>
          </cell>
          <cell r="N7">
            <v>100</v>
          </cell>
          <cell r="O7">
            <v>2.5</v>
          </cell>
        </row>
        <row r="8">
          <cell r="B8" t="str">
            <v>Butchiyyapeta</v>
          </cell>
          <cell r="C8">
            <v>2</v>
          </cell>
          <cell r="D8">
            <v>2</v>
          </cell>
          <cell r="E8">
            <v>0</v>
          </cell>
          <cell r="F8">
            <v>0</v>
          </cell>
          <cell r="G8">
            <v>9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5.5</v>
          </cell>
          <cell r="N8">
            <v>81.83</v>
          </cell>
          <cell r="O8">
            <v>2.04575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50</v>
          </cell>
          <cell r="O9">
            <v>1.25</v>
          </cell>
        </row>
        <row r="10">
          <cell r="B10" t="str">
            <v>Chodavaram</v>
          </cell>
          <cell r="C10">
            <v>5</v>
          </cell>
          <cell r="D10">
            <v>4</v>
          </cell>
          <cell r="E10">
            <v>0</v>
          </cell>
          <cell r="F10">
            <v>0</v>
          </cell>
          <cell r="G10">
            <v>15</v>
          </cell>
          <cell r="H10">
            <v>6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5</v>
          </cell>
          <cell r="N10">
            <v>74.39</v>
          </cell>
          <cell r="O10">
            <v>1.85975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50</v>
          </cell>
          <cell r="O11">
            <v>1.25</v>
          </cell>
        </row>
        <row r="12">
          <cell r="B12" t="str">
            <v>Golugonda</v>
          </cell>
          <cell r="C12">
            <v>1</v>
          </cell>
          <cell r="D12">
            <v>1</v>
          </cell>
          <cell r="E12">
            <v>0</v>
          </cell>
          <cell r="F12">
            <v>0</v>
          </cell>
          <cell r="G12">
            <v>2</v>
          </cell>
          <cell r="H12">
            <v>7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10</v>
          </cell>
          <cell r="N12">
            <v>100</v>
          </cell>
          <cell r="O12">
            <v>2.5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50</v>
          </cell>
          <cell r="O13">
            <v>1.25</v>
          </cell>
        </row>
        <row r="14">
          <cell r="B14" t="str">
            <v>K.Kotapadu</v>
          </cell>
          <cell r="C14">
            <v>2</v>
          </cell>
          <cell r="D14">
            <v>2</v>
          </cell>
          <cell r="E14">
            <v>0</v>
          </cell>
          <cell r="F14">
            <v>0</v>
          </cell>
          <cell r="G14">
            <v>0</v>
          </cell>
          <cell r="H14">
            <v>15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8.5</v>
          </cell>
          <cell r="N14">
            <v>100</v>
          </cell>
          <cell r="O14">
            <v>2.5</v>
          </cell>
        </row>
        <row r="15">
          <cell r="B15" t="str">
            <v>Kasimkota</v>
          </cell>
          <cell r="C15">
            <v>2</v>
          </cell>
          <cell r="D15">
            <v>2</v>
          </cell>
          <cell r="E15">
            <v>0</v>
          </cell>
          <cell r="F15">
            <v>0</v>
          </cell>
          <cell r="G15">
            <v>12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7</v>
          </cell>
          <cell r="N15">
            <v>100</v>
          </cell>
          <cell r="O15">
            <v>2.5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50</v>
          </cell>
          <cell r="O16">
            <v>1.25</v>
          </cell>
        </row>
        <row r="17">
          <cell r="B17" t="str">
            <v>Kothakota</v>
          </cell>
          <cell r="C17">
            <v>2</v>
          </cell>
          <cell r="D17">
            <v>1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1.5</v>
          </cell>
          <cell r="N17">
            <v>22.32</v>
          </cell>
          <cell r="O17">
            <v>0.55800000000000005</v>
          </cell>
        </row>
        <row r="18">
          <cell r="B18" t="str">
            <v>Mahila UPS, Anakapalli</v>
          </cell>
          <cell r="C18">
            <v>2</v>
          </cell>
          <cell r="D18">
            <v>2</v>
          </cell>
          <cell r="E18">
            <v>0</v>
          </cell>
          <cell r="F18">
            <v>0</v>
          </cell>
          <cell r="G18">
            <v>11</v>
          </cell>
          <cell r="H18">
            <v>12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12.5</v>
          </cell>
          <cell r="N18">
            <v>100</v>
          </cell>
          <cell r="O18">
            <v>2.5</v>
          </cell>
        </row>
        <row r="19">
          <cell r="B19" t="str">
            <v>Makavarapalem</v>
          </cell>
          <cell r="C19">
            <v>3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 t="str">
            <v>Munagapaka</v>
          </cell>
          <cell r="C20">
            <v>3</v>
          </cell>
          <cell r="D20">
            <v>1</v>
          </cell>
          <cell r="E20">
            <v>0</v>
          </cell>
          <cell r="F20">
            <v>0</v>
          </cell>
          <cell r="G20">
            <v>0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0.66666666666666663</v>
          </cell>
          <cell r="N20">
            <v>9.92</v>
          </cell>
          <cell r="O20">
            <v>0.248</v>
          </cell>
        </row>
        <row r="21">
          <cell r="B21" t="str">
            <v>Nakkapalli</v>
          </cell>
          <cell r="C21">
            <v>7</v>
          </cell>
          <cell r="D21">
            <v>7</v>
          </cell>
          <cell r="E21">
            <v>0</v>
          </cell>
          <cell r="F21">
            <v>0</v>
          </cell>
          <cell r="G21">
            <v>35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6</v>
          </cell>
          <cell r="N21">
            <v>89.27</v>
          </cell>
          <cell r="O21">
            <v>2.2317499999999999</v>
          </cell>
        </row>
        <row r="22">
          <cell r="B22" t="str">
            <v>Narsipatnam Rural</v>
          </cell>
          <cell r="C22">
            <v>1</v>
          </cell>
          <cell r="D22">
            <v>1</v>
          </cell>
          <cell r="E22">
            <v>0</v>
          </cell>
          <cell r="F22">
            <v>0</v>
          </cell>
          <cell r="G22">
            <v>1</v>
          </cell>
          <cell r="H22">
            <v>3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5</v>
          </cell>
          <cell r="N22">
            <v>74.39</v>
          </cell>
          <cell r="O22">
            <v>1.85975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50</v>
          </cell>
          <cell r="O23">
            <v>1.25</v>
          </cell>
        </row>
        <row r="24">
          <cell r="B24" t="str">
            <v>Nathavaram</v>
          </cell>
          <cell r="C24">
            <v>4</v>
          </cell>
          <cell r="D24">
            <v>4</v>
          </cell>
          <cell r="E24">
            <v>0</v>
          </cell>
          <cell r="F24">
            <v>0</v>
          </cell>
          <cell r="G24">
            <v>12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4</v>
          </cell>
          <cell r="M24">
            <v>5</v>
          </cell>
          <cell r="N24">
            <v>74.39</v>
          </cell>
          <cell r="O24">
            <v>1.85975</v>
          </cell>
        </row>
        <row r="25">
          <cell r="B25" t="str">
            <v>Parawada</v>
          </cell>
          <cell r="C25">
            <v>6</v>
          </cell>
          <cell r="D25">
            <v>1</v>
          </cell>
          <cell r="E25">
            <v>0</v>
          </cell>
          <cell r="F25">
            <v>0</v>
          </cell>
          <cell r="G25">
            <v>39</v>
          </cell>
          <cell r="H25">
            <v>6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7.666666666666667</v>
          </cell>
          <cell r="N25">
            <v>100</v>
          </cell>
          <cell r="O25">
            <v>2.5</v>
          </cell>
        </row>
        <row r="26">
          <cell r="B26" t="str">
            <v>Payakaraopeta</v>
          </cell>
          <cell r="C26">
            <v>3</v>
          </cell>
          <cell r="D26">
            <v>3</v>
          </cell>
          <cell r="E26">
            <v>0</v>
          </cell>
          <cell r="F26">
            <v>0</v>
          </cell>
          <cell r="G26">
            <v>24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2</v>
          </cell>
          <cell r="M26">
            <v>10.666666666666666</v>
          </cell>
          <cell r="N26">
            <v>100</v>
          </cell>
          <cell r="O26">
            <v>2.5</v>
          </cell>
        </row>
        <row r="27">
          <cell r="B27" t="str">
            <v>Rambilli</v>
          </cell>
          <cell r="C27">
            <v>3</v>
          </cell>
          <cell r="D27">
            <v>2</v>
          </cell>
          <cell r="E27">
            <v>0</v>
          </cell>
          <cell r="F27">
            <v>1</v>
          </cell>
          <cell r="G27">
            <v>3</v>
          </cell>
          <cell r="H27">
            <v>3</v>
          </cell>
          <cell r="I27">
            <v>0</v>
          </cell>
          <cell r="J27">
            <v>0</v>
          </cell>
          <cell r="K27">
            <v>0</v>
          </cell>
          <cell r="L27">
            <v>4</v>
          </cell>
          <cell r="M27">
            <v>4.333333333333333</v>
          </cell>
          <cell r="N27">
            <v>64.47</v>
          </cell>
          <cell r="O27">
            <v>1.61175</v>
          </cell>
        </row>
        <row r="28">
          <cell r="B28" t="str">
            <v>Ravikamatham</v>
          </cell>
          <cell r="C28">
            <v>1</v>
          </cell>
          <cell r="D28">
            <v>1</v>
          </cell>
          <cell r="E28">
            <v>0</v>
          </cell>
          <cell r="F28">
            <v>0</v>
          </cell>
          <cell r="G28">
            <v>1</v>
          </cell>
          <cell r="H28">
            <v>2</v>
          </cell>
          <cell r="I28">
            <v>0</v>
          </cell>
          <cell r="J28">
            <v>0</v>
          </cell>
          <cell r="K28">
            <v>0</v>
          </cell>
          <cell r="L28">
            <v>1</v>
          </cell>
          <cell r="M28">
            <v>5</v>
          </cell>
          <cell r="N28">
            <v>74.39</v>
          </cell>
          <cell r="O28">
            <v>1.85975</v>
          </cell>
        </row>
        <row r="29">
          <cell r="B29" t="str">
            <v>Rolugunta</v>
          </cell>
          <cell r="C29">
            <v>3</v>
          </cell>
          <cell r="D29">
            <v>3</v>
          </cell>
          <cell r="E29">
            <v>0</v>
          </cell>
          <cell r="F29">
            <v>0</v>
          </cell>
          <cell r="G29">
            <v>5</v>
          </cell>
          <cell r="H29">
            <v>14</v>
          </cell>
          <cell r="I29">
            <v>0</v>
          </cell>
          <cell r="J29">
            <v>0</v>
          </cell>
          <cell r="K29">
            <v>0</v>
          </cell>
          <cell r="L29">
            <v>12</v>
          </cell>
          <cell r="M29">
            <v>11.333333333333334</v>
          </cell>
          <cell r="N29">
            <v>100</v>
          </cell>
          <cell r="O29">
            <v>2.5</v>
          </cell>
        </row>
        <row r="30">
          <cell r="B30" t="str">
            <v>S.Rayavaram</v>
          </cell>
          <cell r="C30">
            <v>3</v>
          </cell>
          <cell r="D30">
            <v>3</v>
          </cell>
          <cell r="E30">
            <v>0</v>
          </cell>
          <cell r="F30">
            <v>0</v>
          </cell>
          <cell r="G30">
            <v>4</v>
          </cell>
          <cell r="H30">
            <v>5</v>
          </cell>
          <cell r="I30">
            <v>0</v>
          </cell>
          <cell r="J30">
            <v>0</v>
          </cell>
          <cell r="K30">
            <v>0</v>
          </cell>
          <cell r="L30">
            <v>4</v>
          </cell>
          <cell r="M30">
            <v>5.333333333333333</v>
          </cell>
          <cell r="N30">
            <v>79.349999999999994</v>
          </cell>
          <cell r="O30">
            <v>1.9837499999999999</v>
          </cell>
        </row>
        <row r="31">
          <cell r="B31" t="str">
            <v>Sabbavaram</v>
          </cell>
          <cell r="C31">
            <v>2</v>
          </cell>
          <cell r="D31">
            <v>2</v>
          </cell>
          <cell r="E31">
            <v>0</v>
          </cell>
          <cell r="F31">
            <v>0</v>
          </cell>
          <cell r="G31">
            <v>6</v>
          </cell>
          <cell r="H31">
            <v>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8.5</v>
          </cell>
          <cell r="N31">
            <v>100</v>
          </cell>
          <cell r="O31">
            <v>2.5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</v>
          </cell>
          <cell r="H32">
            <v>3</v>
          </cell>
          <cell r="I32">
            <v>0</v>
          </cell>
          <cell r="J32">
            <v>0</v>
          </cell>
          <cell r="K32">
            <v>0</v>
          </cell>
          <cell r="L32">
            <v>1</v>
          </cell>
          <cell r="M32">
            <v>6</v>
          </cell>
          <cell r="N32">
            <v>89.27</v>
          </cell>
          <cell r="O32">
            <v>2.2317499999999999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0</v>
          </cell>
          <cell r="F33">
            <v>0</v>
          </cell>
          <cell r="G33">
            <v>4</v>
          </cell>
          <cell r="H33">
            <v>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10</v>
          </cell>
          <cell r="N33">
            <v>100</v>
          </cell>
          <cell r="O33">
            <v>2.5</v>
          </cell>
        </row>
        <row r="34">
          <cell r="B34" t="str">
            <v>Yelamanchili Town</v>
          </cell>
          <cell r="C34">
            <v>2</v>
          </cell>
          <cell r="D34">
            <v>2</v>
          </cell>
          <cell r="E34">
            <v>0</v>
          </cell>
          <cell r="F34">
            <v>0</v>
          </cell>
          <cell r="G34">
            <v>2</v>
          </cell>
          <cell r="H34">
            <v>8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6</v>
          </cell>
          <cell r="N34">
            <v>89.27</v>
          </cell>
          <cell r="O34">
            <v>2.2317499999999999</v>
          </cell>
        </row>
        <row r="35">
          <cell r="B35" t="str">
            <v>Yelamanchili Traffic</v>
          </cell>
          <cell r="C35">
            <v>1</v>
          </cell>
          <cell r="D35">
            <v>1</v>
          </cell>
          <cell r="E35">
            <v>0</v>
          </cell>
          <cell r="F35">
            <v>0</v>
          </cell>
          <cell r="G35">
            <v>3</v>
          </cell>
          <cell r="H35">
            <v>3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8</v>
          </cell>
          <cell r="N35">
            <v>100</v>
          </cell>
          <cell r="O35">
            <v>2.5</v>
          </cell>
        </row>
        <row r="36">
          <cell r="C36">
            <v>79</v>
          </cell>
          <cell r="D36">
            <v>67</v>
          </cell>
          <cell r="E36">
            <v>3</v>
          </cell>
          <cell r="F36">
            <v>7</v>
          </cell>
          <cell r="G36">
            <v>209</v>
          </cell>
          <cell r="H36">
            <v>209</v>
          </cell>
          <cell r="I36">
            <v>3</v>
          </cell>
          <cell r="J36">
            <v>0</v>
          </cell>
          <cell r="K36">
            <v>2</v>
          </cell>
          <cell r="L36">
            <v>31</v>
          </cell>
          <cell r="M36">
            <v>6.7215189873417724</v>
          </cell>
          <cell r="N36">
            <v>74.459393939393934</v>
          </cell>
          <cell r="O36">
            <v>1.8614848484848485</v>
          </cell>
        </row>
      </sheetData>
      <sheetData sheetId="6">
        <row r="2">
          <cell r="B2" t="str">
            <v>PS</v>
          </cell>
          <cell r="C2" t="str">
            <v>Result of Appeal</v>
          </cell>
          <cell r="D2" t="str">
            <v>Missing</v>
          </cell>
          <cell r="E2" t="str">
            <v>Abandoned Person entry</v>
          </cell>
          <cell r="F2" t="str">
            <v>Unidentified Dead Body</v>
          </cell>
          <cell r="G2" t="str">
            <v>Unnatural Death</v>
          </cell>
          <cell r="H2" t="str">
            <v>Gang Profile</v>
          </cell>
          <cell r="I2" t="str">
            <v>Member Details</v>
          </cell>
          <cell r="J2" t="str">
            <v>Gang Activity Details</v>
          </cell>
          <cell r="K2" t="str">
            <v>Unclaimed Property</v>
          </cell>
          <cell r="L2" t="str">
            <v>Raw Value</v>
          </cell>
          <cell r="M2" t="str">
            <v>Marks</v>
          </cell>
        </row>
        <row r="3">
          <cell r="B3" t="str">
            <v>A.Koduru</v>
          </cell>
          <cell r="C3" t="str">
            <v>NA</v>
          </cell>
          <cell r="D3" t="str">
            <v>NA</v>
          </cell>
          <cell r="E3" t="str">
            <v>NA</v>
          </cell>
          <cell r="F3" t="str">
            <v>NA</v>
          </cell>
          <cell r="G3" t="str">
            <v>NA</v>
          </cell>
          <cell r="H3" t="str">
            <v>NA</v>
          </cell>
          <cell r="I3" t="str">
            <v>NA</v>
          </cell>
          <cell r="J3" t="str">
            <v>NA</v>
          </cell>
          <cell r="K3" t="str">
            <v>NA</v>
          </cell>
          <cell r="L3">
            <v>0</v>
          </cell>
          <cell r="M3">
            <v>0</v>
          </cell>
        </row>
        <row r="4">
          <cell r="B4" t="str">
            <v>Anakapalli Rural</v>
          </cell>
          <cell r="C4" t="str">
            <v>NA</v>
          </cell>
          <cell r="D4" t="str">
            <v>NA</v>
          </cell>
          <cell r="E4" t="str">
            <v>NA</v>
          </cell>
          <cell r="F4" t="str">
            <v>NA</v>
          </cell>
          <cell r="G4" t="str">
            <v>NA</v>
          </cell>
          <cell r="H4" t="str">
            <v>NA</v>
          </cell>
          <cell r="I4" t="str">
            <v>NA</v>
          </cell>
          <cell r="J4" t="str">
            <v>NA</v>
          </cell>
          <cell r="K4" t="str">
            <v>NA</v>
          </cell>
          <cell r="L4">
            <v>0</v>
          </cell>
          <cell r="M4">
            <v>0</v>
          </cell>
        </row>
        <row r="5">
          <cell r="B5" t="str">
            <v>Anakapalli Town</v>
          </cell>
          <cell r="C5" t="str">
            <v>NA</v>
          </cell>
          <cell r="D5" t="str">
            <v>NA</v>
          </cell>
          <cell r="E5" t="str">
            <v>NA</v>
          </cell>
          <cell r="F5" t="str">
            <v>NA</v>
          </cell>
          <cell r="G5" t="str">
            <v>NA</v>
          </cell>
          <cell r="H5" t="str">
            <v>NA</v>
          </cell>
          <cell r="I5" t="str">
            <v>NA</v>
          </cell>
          <cell r="J5" t="str">
            <v>NA</v>
          </cell>
          <cell r="K5" t="str">
            <v>NA</v>
          </cell>
          <cell r="L5">
            <v>0</v>
          </cell>
          <cell r="M5">
            <v>0</v>
          </cell>
        </row>
        <row r="6">
          <cell r="B6" t="str">
            <v>Anakapalli Traffic</v>
          </cell>
          <cell r="C6" t="str">
            <v>NA</v>
          </cell>
          <cell r="D6" t="str">
            <v>NA</v>
          </cell>
          <cell r="E6" t="str">
            <v>NA</v>
          </cell>
          <cell r="F6" t="str">
            <v>NA</v>
          </cell>
          <cell r="G6" t="str">
            <v>NA</v>
          </cell>
          <cell r="H6" t="str">
            <v>NA</v>
          </cell>
          <cell r="I6" t="str">
            <v>NA</v>
          </cell>
          <cell r="J6" t="str">
            <v>NA</v>
          </cell>
          <cell r="K6" t="str">
            <v>NA</v>
          </cell>
          <cell r="L6">
            <v>0</v>
          </cell>
          <cell r="M6">
            <v>0</v>
          </cell>
        </row>
        <row r="7">
          <cell r="B7" t="str">
            <v>Atchutapuram</v>
          </cell>
          <cell r="C7" t="str">
            <v>NA</v>
          </cell>
          <cell r="D7" t="str">
            <v>NA</v>
          </cell>
          <cell r="E7" t="str">
            <v>NA</v>
          </cell>
          <cell r="F7" t="str">
            <v>NA</v>
          </cell>
          <cell r="G7" t="str">
            <v>NA</v>
          </cell>
          <cell r="H7" t="str">
            <v>NA</v>
          </cell>
          <cell r="I7" t="str">
            <v>NA</v>
          </cell>
          <cell r="J7" t="str">
            <v>NA</v>
          </cell>
          <cell r="K7" t="str">
            <v>NA</v>
          </cell>
          <cell r="L7">
            <v>0</v>
          </cell>
          <cell r="M7">
            <v>0</v>
          </cell>
        </row>
        <row r="8">
          <cell r="B8" t="str">
            <v>Butchiyyapeta</v>
          </cell>
          <cell r="C8" t="str">
            <v>NA</v>
          </cell>
          <cell r="D8" t="str">
            <v>NA</v>
          </cell>
          <cell r="E8" t="str">
            <v>NA</v>
          </cell>
          <cell r="F8" t="str">
            <v>NA</v>
          </cell>
          <cell r="G8" t="str">
            <v>NA</v>
          </cell>
          <cell r="H8" t="str">
            <v>NA</v>
          </cell>
          <cell r="I8" t="str">
            <v>NA</v>
          </cell>
          <cell r="J8" t="str">
            <v>NA</v>
          </cell>
          <cell r="K8" t="str">
            <v>NA</v>
          </cell>
          <cell r="L8">
            <v>0</v>
          </cell>
          <cell r="M8">
            <v>0</v>
          </cell>
        </row>
        <row r="9">
          <cell r="B9" t="str">
            <v>Cheedikada</v>
          </cell>
          <cell r="C9" t="str">
            <v>NA</v>
          </cell>
          <cell r="D9" t="str">
            <v>NA</v>
          </cell>
          <cell r="E9" t="str">
            <v>NA</v>
          </cell>
          <cell r="F9" t="str">
            <v>NA</v>
          </cell>
          <cell r="G9" t="str">
            <v>NA</v>
          </cell>
          <cell r="H9" t="str">
            <v>NA</v>
          </cell>
          <cell r="I9" t="str">
            <v>NA</v>
          </cell>
          <cell r="J9" t="str">
            <v>NA</v>
          </cell>
          <cell r="K9" t="str">
            <v>NA</v>
          </cell>
          <cell r="L9">
            <v>0</v>
          </cell>
          <cell r="M9">
            <v>0</v>
          </cell>
        </row>
        <row r="10">
          <cell r="B10" t="str">
            <v>Chodavaram</v>
          </cell>
          <cell r="C10" t="str">
            <v>NA</v>
          </cell>
          <cell r="D10" t="str">
            <v>NA</v>
          </cell>
          <cell r="E10" t="str">
            <v>NA</v>
          </cell>
          <cell r="F10" t="str">
            <v>NA</v>
          </cell>
          <cell r="G10" t="str">
            <v>NA</v>
          </cell>
          <cell r="H10" t="str">
            <v>NA</v>
          </cell>
          <cell r="I10" t="str">
            <v>NA</v>
          </cell>
          <cell r="J10" t="str">
            <v>NA</v>
          </cell>
          <cell r="K10" t="str">
            <v>NA</v>
          </cell>
          <cell r="L10">
            <v>0</v>
          </cell>
          <cell r="M10">
            <v>0</v>
          </cell>
        </row>
        <row r="11">
          <cell r="B11" t="str">
            <v>Devarapalli</v>
          </cell>
          <cell r="C11" t="str">
            <v>NA</v>
          </cell>
          <cell r="D11" t="str">
            <v>NA</v>
          </cell>
          <cell r="E11" t="str">
            <v>NA</v>
          </cell>
          <cell r="F11" t="str">
            <v>NA</v>
          </cell>
          <cell r="G11" t="str">
            <v>NA</v>
          </cell>
          <cell r="H11" t="str">
            <v>NA</v>
          </cell>
          <cell r="I11" t="str">
            <v>NA</v>
          </cell>
          <cell r="J11" t="str">
            <v>NA</v>
          </cell>
          <cell r="K11" t="str">
            <v>NA</v>
          </cell>
          <cell r="L11">
            <v>0</v>
          </cell>
          <cell r="M11">
            <v>0</v>
          </cell>
        </row>
        <row r="12">
          <cell r="B12" t="str">
            <v>Golugonda</v>
          </cell>
          <cell r="C12" t="str">
            <v>NA</v>
          </cell>
          <cell r="D12" t="str">
            <v>NA</v>
          </cell>
          <cell r="E12" t="str">
            <v>NA</v>
          </cell>
          <cell r="F12" t="str">
            <v>NA</v>
          </cell>
          <cell r="G12" t="str">
            <v>NA</v>
          </cell>
          <cell r="H12" t="str">
            <v>NA</v>
          </cell>
          <cell r="I12" t="str">
            <v>NA</v>
          </cell>
          <cell r="J12" t="str">
            <v>NA</v>
          </cell>
          <cell r="K12" t="str">
            <v>NA</v>
          </cell>
          <cell r="L12">
            <v>0</v>
          </cell>
          <cell r="M12">
            <v>0</v>
          </cell>
        </row>
        <row r="13">
          <cell r="B13" t="str">
            <v>K.D.Peta</v>
          </cell>
          <cell r="C13" t="str">
            <v>NA</v>
          </cell>
          <cell r="D13" t="str">
            <v>NA</v>
          </cell>
          <cell r="E13" t="str">
            <v>NA</v>
          </cell>
          <cell r="F13" t="str">
            <v>NA</v>
          </cell>
          <cell r="G13" t="str">
            <v>NA</v>
          </cell>
          <cell r="H13" t="str">
            <v>NA</v>
          </cell>
          <cell r="I13" t="str">
            <v>NA</v>
          </cell>
          <cell r="J13" t="str">
            <v>NA</v>
          </cell>
          <cell r="K13" t="str">
            <v>NA</v>
          </cell>
          <cell r="L13">
            <v>0</v>
          </cell>
          <cell r="M13">
            <v>0</v>
          </cell>
        </row>
        <row r="14">
          <cell r="B14" t="str">
            <v>K.Kotapadu</v>
          </cell>
          <cell r="C14" t="str">
            <v>NA</v>
          </cell>
          <cell r="D14" t="str">
            <v>NA</v>
          </cell>
          <cell r="E14" t="str">
            <v>NA</v>
          </cell>
          <cell r="F14" t="str">
            <v>NA</v>
          </cell>
          <cell r="G14" t="str">
            <v>NA</v>
          </cell>
          <cell r="H14" t="str">
            <v>NA</v>
          </cell>
          <cell r="I14" t="str">
            <v>NA</v>
          </cell>
          <cell r="J14" t="str">
            <v>NA</v>
          </cell>
          <cell r="K14" t="str">
            <v>NA</v>
          </cell>
          <cell r="L14">
            <v>0</v>
          </cell>
          <cell r="M14">
            <v>0</v>
          </cell>
        </row>
        <row r="15">
          <cell r="B15" t="str">
            <v>Kasimkota</v>
          </cell>
          <cell r="C15" t="str">
            <v>NA</v>
          </cell>
          <cell r="D15" t="str">
            <v>NA</v>
          </cell>
          <cell r="E15" t="str">
            <v>NA</v>
          </cell>
          <cell r="F15" t="str">
            <v>NA</v>
          </cell>
          <cell r="G15" t="str">
            <v>NA</v>
          </cell>
          <cell r="H15" t="str">
            <v>NA</v>
          </cell>
          <cell r="I15" t="str">
            <v>NA</v>
          </cell>
          <cell r="J15" t="str">
            <v>NA</v>
          </cell>
          <cell r="K15" t="str">
            <v>NA</v>
          </cell>
          <cell r="L15">
            <v>0</v>
          </cell>
          <cell r="M15">
            <v>0</v>
          </cell>
        </row>
        <row r="16">
          <cell r="B16" t="str">
            <v>Kotavurtla</v>
          </cell>
          <cell r="C16" t="str">
            <v>NA</v>
          </cell>
          <cell r="D16" t="str">
            <v>NA</v>
          </cell>
          <cell r="E16" t="str">
            <v>NA</v>
          </cell>
          <cell r="F16" t="str">
            <v>NA</v>
          </cell>
          <cell r="G16" t="str">
            <v>NA</v>
          </cell>
          <cell r="H16" t="str">
            <v>NA</v>
          </cell>
          <cell r="I16" t="str">
            <v>NA</v>
          </cell>
          <cell r="J16" t="str">
            <v>NA</v>
          </cell>
          <cell r="K16" t="str">
            <v>NA</v>
          </cell>
          <cell r="L16">
            <v>0</v>
          </cell>
          <cell r="M16">
            <v>0</v>
          </cell>
        </row>
        <row r="17">
          <cell r="B17" t="str">
            <v>Kothakota</v>
          </cell>
          <cell r="C17" t="str">
            <v>NA</v>
          </cell>
          <cell r="D17" t="str">
            <v>NA</v>
          </cell>
          <cell r="E17" t="str">
            <v>NA</v>
          </cell>
          <cell r="F17" t="str">
            <v>NA</v>
          </cell>
          <cell r="G17" t="str">
            <v>NA</v>
          </cell>
          <cell r="H17" t="str">
            <v>NA</v>
          </cell>
          <cell r="I17" t="str">
            <v>NA</v>
          </cell>
          <cell r="J17" t="str">
            <v>NA</v>
          </cell>
          <cell r="K17" t="str">
            <v>NA</v>
          </cell>
          <cell r="L17">
            <v>0</v>
          </cell>
          <cell r="M17">
            <v>0</v>
          </cell>
        </row>
        <row r="18">
          <cell r="B18" t="str">
            <v>Mahila UPS, Anakapalli</v>
          </cell>
          <cell r="C18" t="str">
            <v>NA</v>
          </cell>
          <cell r="D18" t="str">
            <v>NA</v>
          </cell>
          <cell r="E18" t="str">
            <v>NA</v>
          </cell>
          <cell r="F18" t="str">
            <v>NA</v>
          </cell>
          <cell r="G18" t="str">
            <v>NA</v>
          </cell>
          <cell r="H18" t="str">
            <v>NA</v>
          </cell>
          <cell r="I18" t="str">
            <v>NA</v>
          </cell>
          <cell r="J18" t="str">
            <v>NA</v>
          </cell>
          <cell r="K18" t="str">
            <v>NA</v>
          </cell>
          <cell r="L18">
            <v>0</v>
          </cell>
          <cell r="M18">
            <v>0</v>
          </cell>
        </row>
        <row r="19">
          <cell r="B19" t="str">
            <v>Makavarapalem</v>
          </cell>
          <cell r="C19" t="str">
            <v>NA</v>
          </cell>
          <cell r="D19" t="str">
            <v>NA</v>
          </cell>
          <cell r="E19" t="str">
            <v>NA</v>
          </cell>
          <cell r="F19" t="str">
            <v>NA</v>
          </cell>
          <cell r="G19" t="str">
            <v>NA</v>
          </cell>
          <cell r="H19" t="str">
            <v>NA</v>
          </cell>
          <cell r="I19" t="str">
            <v>NA</v>
          </cell>
          <cell r="J19" t="str">
            <v>NA</v>
          </cell>
          <cell r="K19" t="str">
            <v>NA</v>
          </cell>
          <cell r="L19">
            <v>0</v>
          </cell>
          <cell r="M19">
            <v>0</v>
          </cell>
        </row>
        <row r="20">
          <cell r="B20" t="str">
            <v>Munagapaka</v>
          </cell>
          <cell r="C20" t="str">
            <v>NA</v>
          </cell>
          <cell r="D20" t="str">
            <v>NA</v>
          </cell>
          <cell r="E20" t="str">
            <v>NA</v>
          </cell>
          <cell r="F20" t="str">
            <v>NA</v>
          </cell>
          <cell r="G20" t="str">
            <v>NA</v>
          </cell>
          <cell r="H20" t="str">
            <v>NA</v>
          </cell>
          <cell r="I20" t="str">
            <v>NA</v>
          </cell>
          <cell r="J20" t="str">
            <v>NA</v>
          </cell>
          <cell r="K20" t="str">
            <v>NA</v>
          </cell>
          <cell r="L20">
            <v>0</v>
          </cell>
          <cell r="M20">
            <v>0</v>
          </cell>
        </row>
        <row r="21">
          <cell r="B21" t="str">
            <v>Nakkapalli</v>
          </cell>
          <cell r="C21" t="str">
            <v>NA</v>
          </cell>
          <cell r="D21" t="str">
            <v>NA</v>
          </cell>
          <cell r="E21" t="str">
            <v>NA</v>
          </cell>
          <cell r="F21" t="str">
            <v>NA</v>
          </cell>
          <cell r="G21" t="str">
            <v>NA</v>
          </cell>
          <cell r="H21" t="str">
            <v>NA</v>
          </cell>
          <cell r="I21" t="str">
            <v>NA</v>
          </cell>
          <cell r="J21" t="str">
            <v>NA</v>
          </cell>
          <cell r="K21" t="str">
            <v>NA</v>
          </cell>
          <cell r="L21">
            <v>0</v>
          </cell>
          <cell r="M21">
            <v>0</v>
          </cell>
        </row>
        <row r="22">
          <cell r="B22" t="str">
            <v>Narsipatnam Rural</v>
          </cell>
          <cell r="C22" t="str">
            <v>NA</v>
          </cell>
          <cell r="D22" t="str">
            <v>NA</v>
          </cell>
          <cell r="E22" t="str">
            <v>NA</v>
          </cell>
          <cell r="F22" t="str">
            <v>NA</v>
          </cell>
          <cell r="G22" t="str">
            <v>NA</v>
          </cell>
          <cell r="H22" t="str">
            <v>NA</v>
          </cell>
          <cell r="I22" t="str">
            <v>NA</v>
          </cell>
          <cell r="J22" t="str">
            <v>NA</v>
          </cell>
          <cell r="K22" t="str">
            <v>NA</v>
          </cell>
          <cell r="L22">
            <v>0</v>
          </cell>
          <cell r="M22">
            <v>0</v>
          </cell>
        </row>
        <row r="23">
          <cell r="B23" t="str">
            <v>Narsipatnam Town</v>
          </cell>
          <cell r="C23" t="str">
            <v>NA</v>
          </cell>
          <cell r="D23" t="str">
            <v>NA</v>
          </cell>
          <cell r="E23" t="str">
            <v>NA</v>
          </cell>
          <cell r="F23" t="str">
            <v>NA</v>
          </cell>
          <cell r="G23" t="str">
            <v>NA</v>
          </cell>
          <cell r="H23" t="str">
            <v>NA</v>
          </cell>
          <cell r="I23" t="str">
            <v>NA</v>
          </cell>
          <cell r="J23" t="str">
            <v>NA</v>
          </cell>
          <cell r="K23" t="str">
            <v>NA</v>
          </cell>
          <cell r="L23">
            <v>0</v>
          </cell>
          <cell r="M23">
            <v>0</v>
          </cell>
        </row>
        <row r="24">
          <cell r="B24" t="str">
            <v>Nathavaram</v>
          </cell>
          <cell r="C24" t="str">
            <v>NA</v>
          </cell>
          <cell r="D24" t="str">
            <v>NA</v>
          </cell>
          <cell r="E24" t="str">
            <v>NA</v>
          </cell>
          <cell r="F24" t="str">
            <v>NA</v>
          </cell>
          <cell r="G24" t="str">
            <v>NA</v>
          </cell>
          <cell r="H24" t="str">
            <v>NA</v>
          </cell>
          <cell r="I24" t="str">
            <v>NA</v>
          </cell>
          <cell r="J24" t="str">
            <v>NA</v>
          </cell>
          <cell r="K24" t="str">
            <v>NA</v>
          </cell>
          <cell r="L24">
            <v>0</v>
          </cell>
          <cell r="M24">
            <v>0</v>
          </cell>
        </row>
        <row r="25">
          <cell r="B25" t="str">
            <v>Parawada</v>
          </cell>
          <cell r="C25" t="str">
            <v>NA</v>
          </cell>
          <cell r="D25" t="str">
            <v>NA</v>
          </cell>
          <cell r="E25" t="str">
            <v>NA</v>
          </cell>
          <cell r="F25" t="str">
            <v>NA</v>
          </cell>
          <cell r="G25" t="str">
            <v>NA</v>
          </cell>
          <cell r="H25" t="str">
            <v>NA</v>
          </cell>
          <cell r="I25" t="str">
            <v>NA</v>
          </cell>
          <cell r="J25" t="str">
            <v>NA</v>
          </cell>
          <cell r="K25" t="str">
            <v>NA</v>
          </cell>
          <cell r="L25">
            <v>0</v>
          </cell>
          <cell r="M25">
            <v>0</v>
          </cell>
        </row>
        <row r="26">
          <cell r="B26" t="str">
            <v>Payakaraopeta</v>
          </cell>
          <cell r="C26" t="str">
            <v>NA</v>
          </cell>
          <cell r="D26" t="str">
            <v>NA</v>
          </cell>
          <cell r="E26" t="str">
            <v>NA</v>
          </cell>
          <cell r="F26" t="str">
            <v>NA</v>
          </cell>
          <cell r="G26" t="str">
            <v>NA</v>
          </cell>
          <cell r="H26" t="str">
            <v>NA</v>
          </cell>
          <cell r="I26" t="str">
            <v>NA</v>
          </cell>
          <cell r="J26" t="str">
            <v>NA</v>
          </cell>
          <cell r="K26" t="str">
            <v>NA</v>
          </cell>
          <cell r="L26">
            <v>0</v>
          </cell>
          <cell r="M26">
            <v>0</v>
          </cell>
        </row>
        <row r="27">
          <cell r="B27" t="str">
            <v>Rambilli</v>
          </cell>
          <cell r="C27" t="str">
            <v>NA</v>
          </cell>
          <cell r="D27" t="str">
            <v>NA</v>
          </cell>
          <cell r="E27" t="str">
            <v>NA</v>
          </cell>
          <cell r="F27" t="str">
            <v>NA</v>
          </cell>
          <cell r="G27" t="str">
            <v>NA</v>
          </cell>
          <cell r="H27" t="str">
            <v>NA</v>
          </cell>
          <cell r="I27" t="str">
            <v>NA</v>
          </cell>
          <cell r="J27" t="str">
            <v>NA</v>
          </cell>
          <cell r="K27" t="str">
            <v>NA</v>
          </cell>
          <cell r="L27">
            <v>0</v>
          </cell>
          <cell r="M27">
            <v>0</v>
          </cell>
        </row>
        <row r="28">
          <cell r="B28" t="str">
            <v>Ravikamatham</v>
          </cell>
          <cell r="C28" t="str">
            <v>NA</v>
          </cell>
          <cell r="D28" t="str">
            <v>NA</v>
          </cell>
          <cell r="E28" t="str">
            <v>NA</v>
          </cell>
          <cell r="F28" t="str">
            <v>NA</v>
          </cell>
          <cell r="G28" t="str">
            <v>NA</v>
          </cell>
          <cell r="H28" t="str">
            <v>NA</v>
          </cell>
          <cell r="I28" t="str">
            <v>NA</v>
          </cell>
          <cell r="J28" t="str">
            <v>NA</v>
          </cell>
          <cell r="K28" t="str">
            <v>NA</v>
          </cell>
          <cell r="L28">
            <v>0</v>
          </cell>
          <cell r="M28">
            <v>0</v>
          </cell>
        </row>
        <row r="29">
          <cell r="B29" t="str">
            <v>Rolugunta</v>
          </cell>
          <cell r="C29" t="str">
            <v>NA</v>
          </cell>
          <cell r="D29" t="str">
            <v>NA</v>
          </cell>
          <cell r="E29" t="str">
            <v>NA</v>
          </cell>
          <cell r="F29" t="str">
            <v>NA</v>
          </cell>
          <cell r="G29" t="str">
            <v>NA</v>
          </cell>
          <cell r="H29" t="str">
            <v>NA</v>
          </cell>
          <cell r="I29" t="str">
            <v>NA</v>
          </cell>
          <cell r="J29" t="str">
            <v>NA</v>
          </cell>
          <cell r="K29" t="str">
            <v>NA</v>
          </cell>
          <cell r="L29">
            <v>0</v>
          </cell>
          <cell r="M29">
            <v>0</v>
          </cell>
        </row>
        <row r="30">
          <cell r="B30" t="str">
            <v>S.Rayavaram</v>
          </cell>
          <cell r="C30" t="str">
            <v>NA</v>
          </cell>
          <cell r="D30" t="str">
            <v>NA</v>
          </cell>
          <cell r="E30" t="str">
            <v>NA</v>
          </cell>
          <cell r="F30" t="str">
            <v>NA</v>
          </cell>
          <cell r="G30" t="str">
            <v>NA</v>
          </cell>
          <cell r="H30" t="str">
            <v>NA</v>
          </cell>
          <cell r="I30" t="str">
            <v>NA</v>
          </cell>
          <cell r="J30" t="str">
            <v>NA</v>
          </cell>
          <cell r="K30" t="str">
            <v>NA</v>
          </cell>
          <cell r="L30">
            <v>0</v>
          </cell>
          <cell r="M30">
            <v>0</v>
          </cell>
        </row>
        <row r="31">
          <cell r="B31" t="str">
            <v>Sabbavaram</v>
          </cell>
          <cell r="C31" t="str">
            <v>NA</v>
          </cell>
          <cell r="D31" t="str">
            <v>NA</v>
          </cell>
          <cell r="E31" t="str">
            <v>NA</v>
          </cell>
          <cell r="F31" t="str">
            <v>NA</v>
          </cell>
          <cell r="G31" t="str">
            <v>NA</v>
          </cell>
          <cell r="H31" t="str">
            <v>NA</v>
          </cell>
          <cell r="I31" t="str">
            <v>NA</v>
          </cell>
          <cell r="J31" t="str">
            <v>NA</v>
          </cell>
          <cell r="K31" t="str">
            <v>NA</v>
          </cell>
          <cell r="L31">
            <v>0</v>
          </cell>
          <cell r="M31">
            <v>0</v>
          </cell>
        </row>
        <row r="32">
          <cell r="B32" t="str">
            <v>V.Madugula</v>
          </cell>
          <cell r="C32" t="str">
            <v>NA</v>
          </cell>
          <cell r="D32" t="str">
            <v>NA</v>
          </cell>
          <cell r="E32" t="str">
            <v>NA</v>
          </cell>
          <cell r="F32" t="str">
            <v>NA</v>
          </cell>
          <cell r="G32" t="str">
            <v>NA</v>
          </cell>
          <cell r="H32" t="str">
            <v>NA</v>
          </cell>
          <cell r="I32" t="str">
            <v>NA</v>
          </cell>
          <cell r="J32" t="str">
            <v>NA</v>
          </cell>
          <cell r="K32" t="str">
            <v>NA</v>
          </cell>
          <cell r="L32">
            <v>0</v>
          </cell>
          <cell r="M32">
            <v>0</v>
          </cell>
        </row>
        <row r="33">
          <cell r="B33" t="str">
            <v>Yelamanchili Rural</v>
          </cell>
          <cell r="C33" t="str">
            <v>NA</v>
          </cell>
          <cell r="D33" t="str">
            <v>NA</v>
          </cell>
          <cell r="E33" t="str">
            <v>NA</v>
          </cell>
          <cell r="F33" t="str">
            <v>NA</v>
          </cell>
          <cell r="G33" t="str">
            <v>NA</v>
          </cell>
          <cell r="H33" t="str">
            <v>NA</v>
          </cell>
          <cell r="I33" t="str">
            <v>NA</v>
          </cell>
          <cell r="J33" t="str">
            <v>NA</v>
          </cell>
          <cell r="K33" t="str">
            <v>NA</v>
          </cell>
          <cell r="L33">
            <v>0</v>
          </cell>
          <cell r="M33">
            <v>0</v>
          </cell>
        </row>
        <row r="34">
          <cell r="B34" t="str">
            <v>Yelamanchili Town</v>
          </cell>
          <cell r="C34" t="str">
            <v>NA</v>
          </cell>
          <cell r="D34" t="str">
            <v>NA</v>
          </cell>
          <cell r="E34" t="str">
            <v>NA</v>
          </cell>
          <cell r="F34" t="str">
            <v>NA</v>
          </cell>
          <cell r="G34" t="str">
            <v>NA</v>
          </cell>
          <cell r="H34" t="str">
            <v>NA</v>
          </cell>
          <cell r="I34" t="str">
            <v>NA</v>
          </cell>
          <cell r="J34" t="str">
            <v>NA</v>
          </cell>
          <cell r="K34" t="str">
            <v>NA</v>
          </cell>
          <cell r="L34">
            <v>0</v>
          </cell>
          <cell r="M34">
            <v>0</v>
          </cell>
        </row>
        <row r="35">
          <cell r="B35" t="str">
            <v>Yelamanchili Traffic</v>
          </cell>
          <cell r="C35" t="str">
            <v>NA</v>
          </cell>
          <cell r="D35" t="str">
            <v>NA</v>
          </cell>
          <cell r="E35" t="str">
            <v>NA</v>
          </cell>
          <cell r="F35" t="str">
            <v>NA</v>
          </cell>
          <cell r="G35" t="str">
            <v>NA</v>
          </cell>
          <cell r="H35" t="str">
            <v>NA</v>
          </cell>
          <cell r="I35" t="str">
            <v>NA</v>
          </cell>
          <cell r="J35" t="str">
            <v>NA</v>
          </cell>
          <cell r="K35" t="str">
            <v>NA</v>
          </cell>
          <cell r="L35">
            <v>0</v>
          </cell>
          <cell r="M35">
            <v>0</v>
          </cell>
        </row>
        <row r="36">
          <cell r="C36" t="str">
            <v>NA</v>
          </cell>
          <cell r="D36" t="str">
            <v>NA</v>
          </cell>
          <cell r="E36" t="str">
            <v>NA</v>
          </cell>
          <cell r="F36" t="str">
            <v>NA</v>
          </cell>
          <cell r="G36" t="str">
            <v>NA</v>
          </cell>
          <cell r="H36" t="str">
            <v>NA</v>
          </cell>
          <cell r="I36" t="str">
            <v>NA</v>
          </cell>
          <cell r="J36" t="str">
            <v>NA</v>
          </cell>
          <cell r="K36" t="str">
            <v>NA</v>
          </cell>
          <cell r="L36">
            <v>0</v>
          </cell>
          <cell r="M36">
            <v>0</v>
          </cell>
        </row>
      </sheetData>
      <sheetData sheetId="7">
        <row r="2">
          <cell r="B2" t="str">
            <v>PS Name</v>
          </cell>
          <cell r="C2" t="str">
            <v>No. of Zero FIRs Registered</v>
          </cell>
          <cell r="D2" t="str">
            <v>Pending to Transfer</v>
          </cell>
          <cell r="E2" t="str">
            <v>No. of Zero FIRs Received</v>
          </cell>
          <cell r="F2" t="str">
            <v>Pending to  Re-Register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</sheetData>
      <sheetData sheetId="8">
        <row r="2">
          <cell r="B2" t="str">
            <v>PS NAME</v>
          </cell>
          <cell r="C2" t="str">
            <v>Total Online Petitions</v>
          </cell>
          <cell r="D2" t="str">
            <v>Total Disposal Petitions</v>
          </cell>
          <cell r="E2" t="str">
            <v>Total Pending Petitions</v>
          </cell>
          <cell r="F2" t="str">
            <v>Pending %</v>
          </cell>
          <cell r="G2" t="str">
            <v>Raw Value</v>
          </cell>
          <cell r="H2" t="str">
            <v>Marks</v>
          </cell>
        </row>
        <row r="3">
          <cell r="B3" t="str">
            <v>A.Koduru</v>
          </cell>
          <cell r="C3">
            <v>5</v>
          </cell>
          <cell r="D3">
            <v>5</v>
          </cell>
          <cell r="E3">
            <v>0</v>
          </cell>
          <cell r="F3">
            <v>0</v>
          </cell>
          <cell r="G3">
            <v>100</v>
          </cell>
          <cell r="H3">
            <v>5</v>
          </cell>
        </row>
        <row r="4">
          <cell r="B4" t="str">
            <v>Anakapalli Rural</v>
          </cell>
          <cell r="C4">
            <v>36</v>
          </cell>
          <cell r="D4">
            <v>36</v>
          </cell>
          <cell r="E4">
            <v>0</v>
          </cell>
          <cell r="F4">
            <v>0</v>
          </cell>
          <cell r="G4">
            <v>100</v>
          </cell>
          <cell r="H4">
            <v>5</v>
          </cell>
        </row>
        <row r="5">
          <cell r="B5" t="str">
            <v>Anakapalli Town</v>
          </cell>
          <cell r="C5">
            <v>72</v>
          </cell>
          <cell r="D5">
            <v>72</v>
          </cell>
          <cell r="E5">
            <v>0</v>
          </cell>
          <cell r="F5">
            <v>0</v>
          </cell>
          <cell r="G5">
            <v>100</v>
          </cell>
          <cell r="H5">
            <v>5</v>
          </cell>
        </row>
        <row r="6">
          <cell r="B6" t="str">
            <v>Anakapalli Traffic</v>
          </cell>
          <cell r="C6">
            <v>1</v>
          </cell>
          <cell r="D6">
            <v>1</v>
          </cell>
          <cell r="E6">
            <v>0</v>
          </cell>
          <cell r="F6">
            <v>0</v>
          </cell>
          <cell r="G6">
            <v>100</v>
          </cell>
          <cell r="H6">
            <v>5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0</v>
          </cell>
          <cell r="F7">
            <v>0</v>
          </cell>
          <cell r="G7">
            <v>100</v>
          </cell>
          <cell r="H7">
            <v>5</v>
          </cell>
        </row>
        <row r="8">
          <cell r="B8" t="str">
            <v>Butchiyyapeta</v>
          </cell>
          <cell r="C8">
            <v>4</v>
          </cell>
          <cell r="D8">
            <v>4</v>
          </cell>
          <cell r="E8">
            <v>0</v>
          </cell>
          <cell r="F8">
            <v>0</v>
          </cell>
          <cell r="G8">
            <v>100</v>
          </cell>
          <cell r="H8">
            <v>5</v>
          </cell>
        </row>
        <row r="9">
          <cell r="B9" t="str">
            <v>Cheedikada</v>
          </cell>
          <cell r="C9">
            <v>18</v>
          </cell>
          <cell r="D9">
            <v>18</v>
          </cell>
          <cell r="E9">
            <v>0</v>
          </cell>
          <cell r="F9">
            <v>0</v>
          </cell>
          <cell r="G9">
            <v>100</v>
          </cell>
          <cell r="H9">
            <v>5</v>
          </cell>
        </row>
        <row r="10">
          <cell r="B10" t="str">
            <v>Chodavaram</v>
          </cell>
          <cell r="C10">
            <v>12</v>
          </cell>
          <cell r="D10">
            <v>12</v>
          </cell>
          <cell r="E10">
            <v>0</v>
          </cell>
          <cell r="F10">
            <v>0</v>
          </cell>
          <cell r="G10">
            <v>100</v>
          </cell>
          <cell r="H10">
            <v>5</v>
          </cell>
        </row>
        <row r="11">
          <cell r="B11" t="str">
            <v>Devarapalli</v>
          </cell>
          <cell r="C11">
            <v>3</v>
          </cell>
          <cell r="D11">
            <v>3</v>
          </cell>
          <cell r="E11">
            <v>0</v>
          </cell>
          <cell r="F11">
            <v>0</v>
          </cell>
          <cell r="G11">
            <v>100</v>
          </cell>
          <cell r="H11">
            <v>5</v>
          </cell>
        </row>
        <row r="12">
          <cell r="B12" t="str">
            <v>Golugonda</v>
          </cell>
          <cell r="C12">
            <v>6</v>
          </cell>
          <cell r="D12">
            <v>6</v>
          </cell>
          <cell r="E12">
            <v>0</v>
          </cell>
          <cell r="F12">
            <v>0</v>
          </cell>
          <cell r="G12">
            <v>100</v>
          </cell>
          <cell r="H12">
            <v>5</v>
          </cell>
        </row>
        <row r="13">
          <cell r="B13" t="str">
            <v>K.D.Peta</v>
          </cell>
          <cell r="C13">
            <v>7</v>
          </cell>
          <cell r="D13">
            <v>7</v>
          </cell>
          <cell r="E13">
            <v>0</v>
          </cell>
          <cell r="F13">
            <v>0</v>
          </cell>
          <cell r="G13">
            <v>100</v>
          </cell>
          <cell r="H13">
            <v>5</v>
          </cell>
        </row>
        <row r="14">
          <cell r="B14" t="str">
            <v>K.Kotapadu</v>
          </cell>
          <cell r="C14">
            <v>3</v>
          </cell>
          <cell r="D14">
            <v>3</v>
          </cell>
          <cell r="E14">
            <v>0</v>
          </cell>
          <cell r="F14">
            <v>0</v>
          </cell>
          <cell r="G14">
            <v>100</v>
          </cell>
          <cell r="H14">
            <v>5</v>
          </cell>
        </row>
        <row r="15">
          <cell r="B15" t="str">
            <v>Kasimkota</v>
          </cell>
          <cell r="C15">
            <v>16</v>
          </cell>
          <cell r="D15">
            <v>16</v>
          </cell>
          <cell r="E15">
            <v>0</v>
          </cell>
          <cell r="F15">
            <v>0</v>
          </cell>
          <cell r="G15">
            <v>100</v>
          </cell>
          <cell r="H15">
            <v>5</v>
          </cell>
        </row>
        <row r="16">
          <cell r="B16" t="str">
            <v>Kotavurtla</v>
          </cell>
          <cell r="C16">
            <v>6</v>
          </cell>
          <cell r="D16">
            <v>6</v>
          </cell>
          <cell r="E16">
            <v>0</v>
          </cell>
          <cell r="F16">
            <v>0</v>
          </cell>
          <cell r="G16">
            <v>100</v>
          </cell>
          <cell r="H16">
            <v>5</v>
          </cell>
        </row>
        <row r="17">
          <cell r="B17" t="str">
            <v>Kothakota</v>
          </cell>
          <cell r="C17">
            <v>4</v>
          </cell>
          <cell r="D17">
            <v>4</v>
          </cell>
          <cell r="E17">
            <v>0</v>
          </cell>
          <cell r="F17">
            <v>0</v>
          </cell>
          <cell r="G17">
            <v>100</v>
          </cell>
          <cell r="H17">
            <v>5</v>
          </cell>
        </row>
        <row r="18">
          <cell r="B18" t="str">
            <v>Mahila UPS, Anakapalli</v>
          </cell>
          <cell r="C18">
            <v>4</v>
          </cell>
          <cell r="D18">
            <v>4</v>
          </cell>
          <cell r="E18">
            <v>0</v>
          </cell>
          <cell r="F18">
            <v>0</v>
          </cell>
          <cell r="G18">
            <v>100</v>
          </cell>
          <cell r="H18">
            <v>5</v>
          </cell>
        </row>
        <row r="19">
          <cell r="B19" t="str">
            <v>Makavarapalem</v>
          </cell>
          <cell r="C19">
            <v>9</v>
          </cell>
          <cell r="D19">
            <v>9</v>
          </cell>
          <cell r="E19">
            <v>0</v>
          </cell>
          <cell r="F19">
            <v>0</v>
          </cell>
          <cell r="G19">
            <v>100</v>
          </cell>
          <cell r="H19">
            <v>5</v>
          </cell>
        </row>
        <row r="20">
          <cell r="B20" t="str">
            <v>Munagapaka</v>
          </cell>
          <cell r="C20">
            <v>8</v>
          </cell>
          <cell r="D20">
            <v>8</v>
          </cell>
          <cell r="E20">
            <v>0</v>
          </cell>
          <cell r="F20">
            <v>0</v>
          </cell>
          <cell r="G20">
            <v>100</v>
          </cell>
          <cell r="H20">
            <v>5</v>
          </cell>
        </row>
        <row r="21">
          <cell r="B21" t="str">
            <v>Nakkapalli</v>
          </cell>
          <cell r="C21">
            <v>11</v>
          </cell>
          <cell r="D21">
            <v>11</v>
          </cell>
          <cell r="E21">
            <v>0</v>
          </cell>
          <cell r="F21">
            <v>0</v>
          </cell>
          <cell r="G21">
            <v>100</v>
          </cell>
          <cell r="H21">
            <v>5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0</v>
          </cell>
          <cell r="F22">
            <v>0</v>
          </cell>
          <cell r="G22">
            <v>100</v>
          </cell>
          <cell r="H22">
            <v>5</v>
          </cell>
        </row>
        <row r="23">
          <cell r="B23" t="str">
            <v>Narsipatnam Town</v>
          </cell>
          <cell r="C23">
            <v>15</v>
          </cell>
          <cell r="D23">
            <v>15</v>
          </cell>
          <cell r="E23">
            <v>0</v>
          </cell>
          <cell r="F23">
            <v>0</v>
          </cell>
          <cell r="G23">
            <v>100</v>
          </cell>
          <cell r="H23">
            <v>5</v>
          </cell>
        </row>
        <row r="24">
          <cell r="B24" t="str">
            <v>Nathavaram</v>
          </cell>
          <cell r="C24">
            <v>16</v>
          </cell>
          <cell r="D24">
            <v>16</v>
          </cell>
          <cell r="E24">
            <v>0</v>
          </cell>
          <cell r="F24">
            <v>0</v>
          </cell>
          <cell r="G24">
            <v>100</v>
          </cell>
          <cell r="H24">
            <v>5</v>
          </cell>
        </row>
        <row r="25">
          <cell r="B25" t="str">
            <v>Parawada</v>
          </cell>
          <cell r="C25">
            <v>41</v>
          </cell>
          <cell r="D25">
            <v>41</v>
          </cell>
          <cell r="E25">
            <v>0</v>
          </cell>
          <cell r="F25">
            <v>0</v>
          </cell>
          <cell r="G25">
            <v>100</v>
          </cell>
          <cell r="H25">
            <v>5</v>
          </cell>
        </row>
        <row r="26">
          <cell r="B26" t="str">
            <v>Payakaraopeta</v>
          </cell>
          <cell r="C26">
            <v>12</v>
          </cell>
          <cell r="D26">
            <v>12</v>
          </cell>
          <cell r="E26">
            <v>0</v>
          </cell>
          <cell r="F26">
            <v>0</v>
          </cell>
          <cell r="G26">
            <v>100</v>
          </cell>
          <cell r="H26">
            <v>5</v>
          </cell>
        </row>
        <row r="27">
          <cell r="B27" t="str">
            <v>Rambilli</v>
          </cell>
          <cell r="C27">
            <v>23</v>
          </cell>
          <cell r="D27">
            <v>23</v>
          </cell>
          <cell r="E27">
            <v>0</v>
          </cell>
          <cell r="F27">
            <v>0</v>
          </cell>
          <cell r="G27">
            <v>100</v>
          </cell>
          <cell r="H27">
            <v>5</v>
          </cell>
        </row>
        <row r="28">
          <cell r="B28" t="str">
            <v>Ravikamatham</v>
          </cell>
          <cell r="C28">
            <v>7</v>
          </cell>
          <cell r="D28">
            <v>7</v>
          </cell>
          <cell r="E28">
            <v>0</v>
          </cell>
          <cell r="F28">
            <v>0</v>
          </cell>
          <cell r="G28">
            <v>100</v>
          </cell>
          <cell r="H28">
            <v>5</v>
          </cell>
        </row>
        <row r="29">
          <cell r="B29" t="str">
            <v>Rolugunta</v>
          </cell>
          <cell r="C29">
            <v>8</v>
          </cell>
          <cell r="D29">
            <v>8</v>
          </cell>
          <cell r="E29">
            <v>0</v>
          </cell>
          <cell r="F29">
            <v>0</v>
          </cell>
          <cell r="G29">
            <v>100</v>
          </cell>
          <cell r="H29">
            <v>5</v>
          </cell>
        </row>
        <row r="30">
          <cell r="B30" t="str">
            <v>S.Rayavaram</v>
          </cell>
          <cell r="C30">
            <v>19</v>
          </cell>
          <cell r="D30">
            <v>19</v>
          </cell>
          <cell r="E30">
            <v>0</v>
          </cell>
          <cell r="F30">
            <v>0</v>
          </cell>
          <cell r="G30">
            <v>100</v>
          </cell>
          <cell r="H30">
            <v>5</v>
          </cell>
        </row>
        <row r="31">
          <cell r="B31" t="str">
            <v>Sabbavaram</v>
          </cell>
          <cell r="C31">
            <v>22</v>
          </cell>
          <cell r="D31">
            <v>22</v>
          </cell>
          <cell r="E31">
            <v>0</v>
          </cell>
          <cell r="F31">
            <v>0</v>
          </cell>
          <cell r="G31">
            <v>100</v>
          </cell>
          <cell r="H31">
            <v>5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0</v>
          </cell>
          <cell r="F32">
            <v>0</v>
          </cell>
          <cell r="G32">
            <v>100</v>
          </cell>
          <cell r="H32">
            <v>5</v>
          </cell>
        </row>
        <row r="33">
          <cell r="B33" t="str">
            <v>Yelamanchili Rural</v>
          </cell>
          <cell r="C33">
            <v>9</v>
          </cell>
          <cell r="D33">
            <v>9</v>
          </cell>
          <cell r="E33">
            <v>0</v>
          </cell>
          <cell r="F33">
            <v>0</v>
          </cell>
          <cell r="G33">
            <v>100</v>
          </cell>
          <cell r="H33">
            <v>5</v>
          </cell>
        </row>
        <row r="34">
          <cell r="B34" t="str">
            <v>Yelamanchili Town</v>
          </cell>
          <cell r="C34">
            <v>20</v>
          </cell>
          <cell r="D34">
            <v>20</v>
          </cell>
          <cell r="E34">
            <v>0</v>
          </cell>
          <cell r="F34">
            <v>0</v>
          </cell>
          <cell r="G34">
            <v>100</v>
          </cell>
          <cell r="H34">
            <v>5</v>
          </cell>
        </row>
        <row r="35">
          <cell r="B35" t="str">
            <v>Yelamanchili Traffic</v>
          </cell>
          <cell r="C35">
            <v>5</v>
          </cell>
          <cell r="D35">
            <v>5</v>
          </cell>
          <cell r="E35">
            <v>0</v>
          </cell>
          <cell r="F35">
            <v>0</v>
          </cell>
          <cell r="G35">
            <v>100</v>
          </cell>
          <cell r="H35">
            <v>5</v>
          </cell>
        </row>
        <row r="36">
          <cell r="C36">
            <v>452</v>
          </cell>
          <cell r="D36">
            <v>452</v>
          </cell>
          <cell r="E36">
            <v>0</v>
          </cell>
          <cell r="F36">
            <v>0</v>
          </cell>
          <cell r="G36">
            <v>100</v>
          </cell>
          <cell r="H36">
            <v>5</v>
          </cell>
        </row>
      </sheetData>
      <sheetData sheetId="9">
        <row r="2">
          <cell r="B2" t="str">
            <v>PS NAME
(B)</v>
          </cell>
          <cell r="C2" t="str">
            <v>TOTAL 
FIRS
( C )</v>
          </cell>
          <cell r="D2" t="str">
            <v>TOTAL SIDs
CREATED
( D )</v>
          </cell>
          <cell r="E2" t="str">
            <v>FIRS HAVING SID (F )</v>
          </cell>
          <cell r="F2" t="str">
            <v>FIRS NOT 
HAVING  SID (G)</v>
          </cell>
          <cell r="G2" t="str">
            <v>E SAKSHYA COMPLIANCE %
F*100/C
RAW VALUE</v>
          </cell>
          <cell r="H2" t="str">
            <v>Marks</v>
          </cell>
        </row>
        <row r="4">
          <cell r="B4" t="str">
            <v>A.Koduru</v>
          </cell>
          <cell r="C4">
            <v>210</v>
          </cell>
          <cell r="D4">
            <v>421</v>
          </cell>
          <cell r="E4">
            <v>239</v>
          </cell>
          <cell r="F4">
            <v>-29</v>
          </cell>
          <cell r="G4">
            <v>100</v>
          </cell>
          <cell r="H4">
            <v>5</v>
          </cell>
        </row>
        <row r="5">
          <cell r="B5" t="str">
            <v>Anakapalli Rural</v>
          </cell>
          <cell r="C5">
            <v>548</v>
          </cell>
          <cell r="D5">
            <v>485</v>
          </cell>
          <cell r="E5">
            <v>236</v>
          </cell>
          <cell r="F5">
            <v>312</v>
          </cell>
          <cell r="G5">
            <v>43.065693430656935</v>
          </cell>
          <cell r="H5">
            <v>2.1532846715328469</v>
          </cell>
        </row>
        <row r="6">
          <cell r="B6" t="str">
            <v>Anakapalli Town</v>
          </cell>
          <cell r="C6">
            <v>709</v>
          </cell>
          <cell r="D6">
            <v>495</v>
          </cell>
          <cell r="E6">
            <v>266</v>
          </cell>
          <cell r="F6">
            <v>443</v>
          </cell>
          <cell r="G6">
            <v>37.517630465444284</v>
          </cell>
          <cell r="H6">
            <v>1.8758815232722144</v>
          </cell>
        </row>
        <row r="7">
          <cell r="B7" t="str">
            <v>Anakapalli Traffic</v>
          </cell>
          <cell r="C7">
            <v>232</v>
          </cell>
          <cell r="D7">
            <v>330</v>
          </cell>
          <cell r="E7">
            <v>125</v>
          </cell>
          <cell r="F7">
            <v>107</v>
          </cell>
          <cell r="G7">
            <v>53.879310344827587</v>
          </cell>
          <cell r="H7">
            <v>2.6939655172413794</v>
          </cell>
        </row>
        <row r="8">
          <cell r="B8" t="str">
            <v>Atchutapuram</v>
          </cell>
          <cell r="C8">
            <v>577</v>
          </cell>
          <cell r="D8">
            <v>359</v>
          </cell>
          <cell r="E8">
            <v>304</v>
          </cell>
          <cell r="F8">
            <v>273</v>
          </cell>
          <cell r="G8">
            <v>52.686308492201043</v>
          </cell>
          <cell r="H8">
            <v>2.6343154246100524</v>
          </cell>
        </row>
        <row r="9">
          <cell r="B9" t="str">
            <v>Butchiyyapeta</v>
          </cell>
          <cell r="C9">
            <v>342</v>
          </cell>
          <cell r="D9">
            <v>366</v>
          </cell>
          <cell r="E9">
            <v>333</v>
          </cell>
          <cell r="F9">
            <v>9</v>
          </cell>
          <cell r="G9">
            <v>97.368421052631575</v>
          </cell>
          <cell r="H9">
            <v>4.8684210526315788</v>
          </cell>
        </row>
        <row r="10">
          <cell r="B10" t="str">
            <v>Cheedikada</v>
          </cell>
          <cell r="C10">
            <v>220</v>
          </cell>
          <cell r="D10">
            <v>264</v>
          </cell>
          <cell r="E10">
            <v>216</v>
          </cell>
          <cell r="F10">
            <v>4</v>
          </cell>
          <cell r="G10">
            <v>98.181818181818187</v>
          </cell>
          <cell r="H10">
            <v>4.9090909090909101</v>
          </cell>
        </row>
        <row r="11">
          <cell r="B11" t="str">
            <v>Chodavaram</v>
          </cell>
          <cell r="C11">
            <v>654</v>
          </cell>
          <cell r="D11">
            <v>616</v>
          </cell>
          <cell r="E11">
            <v>469</v>
          </cell>
          <cell r="F11">
            <v>185</v>
          </cell>
          <cell r="G11">
            <v>71.712538226299699</v>
          </cell>
          <cell r="H11">
            <v>3.5856269113149852</v>
          </cell>
        </row>
        <row r="12">
          <cell r="B12" t="str">
            <v>Devarapalli</v>
          </cell>
          <cell r="C12">
            <v>354</v>
          </cell>
          <cell r="D12">
            <v>357</v>
          </cell>
          <cell r="E12">
            <v>302</v>
          </cell>
          <cell r="F12">
            <v>52</v>
          </cell>
          <cell r="G12">
            <v>85.31073446327683</v>
          </cell>
          <cell r="H12">
            <v>4.2655367231638417</v>
          </cell>
        </row>
        <row r="13">
          <cell r="B13" t="str">
            <v>Golugonda</v>
          </cell>
          <cell r="C13">
            <v>261</v>
          </cell>
          <cell r="D13">
            <v>192</v>
          </cell>
          <cell r="E13">
            <v>160</v>
          </cell>
          <cell r="F13">
            <v>101</v>
          </cell>
          <cell r="G13">
            <v>61.302681992337163</v>
          </cell>
          <cell r="H13">
            <v>3.0651340996168583</v>
          </cell>
        </row>
        <row r="14">
          <cell r="B14" t="str">
            <v>K.D.Peta</v>
          </cell>
          <cell r="C14">
            <v>178</v>
          </cell>
          <cell r="D14">
            <v>170</v>
          </cell>
          <cell r="E14">
            <v>159</v>
          </cell>
          <cell r="F14">
            <v>19</v>
          </cell>
          <cell r="G14">
            <v>89.325842696629209</v>
          </cell>
          <cell r="H14">
            <v>4.4662921348314608</v>
          </cell>
        </row>
        <row r="15">
          <cell r="B15" t="str">
            <v>K.Kotapadu</v>
          </cell>
          <cell r="C15">
            <v>230</v>
          </cell>
          <cell r="D15">
            <v>252</v>
          </cell>
          <cell r="E15">
            <v>170</v>
          </cell>
          <cell r="F15">
            <v>60</v>
          </cell>
          <cell r="G15">
            <v>73.913043478260875</v>
          </cell>
          <cell r="H15">
            <v>3.6956521739130439</v>
          </cell>
        </row>
        <row r="16">
          <cell r="B16" t="str">
            <v>Kasimkota</v>
          </cell>
          <cell r="C16">
            <v>653</v>
          </cell>
          <cell r="D16">
            <v>498</v>
          </cell>
          <cell r="E16">
            <v>406</v>
          </cell>
          <cell r="F16">
            <v>247</v>
          </cell>
          <cell r="G16">
            <v>62.174578866768762</v>
          </cell>
          <cell r="H16">
            <v>3.1087289433384382</v>
          </cell>
        </row>
        <row r="17">
          <cell r="B17" t="str">
            <v>Kotavurtla</v>
          </cell>
          <cell r="C17">
            <v>301</v>
          </cell>
          <cell r="D17">
            <v>340</v>
          </cell>
          <cell r="E17">
            <v>302</v>
          </cell>
          <cell r="F17">
            <v>-1</v>
          </cell>
          <cell r="G17">
            <v>100</v>
          </cell>
          <cell r="H17">
            <v>5</v>
          </cell>
        </row>
        <row r="18">
          <cell r="B18" t="str">
            <v>Kothakota</v>
          </cell>
          <cell r="C18">
            <v>191</v>
          </cell>
          <cell r="D18">
            <v>123</v>
          </cell>
          <cell r="E18">
            <v>98</v>
          </cell>
          <cell r="F18">
            <v>93</v>
          </cell>
          <cell r="G18">
            <v>51.308900523560212</v>
          </cell>
          <cell r="H18">
            <v>2.5654450261780108</v>
          </cell>
        </row>
        <row r="19">
          <cell r="B19" t="str">
            <v>Mahila UPS, Anakapalli</v>
          </cell>
          <cell r="C19">
            <v>141</v>
          </cell>
          <cell r="D19">
            <v>174</v>
          </cell>
          <cell r="E19">
            <v>48</v>
          </cell>
          <cell r="F19">
            <v>93</v>
          </cell>
          <cell r="G19">
            <v>34.042553191489361</v>
          </cell>
          <cell r="H19">
            <v>1.7021276595744681</v>
          </cell>
        </row>
        <row r="20">
          <cell r="B20" t="str">
            <v>Makavarapalem</v>
          </cell>
          <cell r="C20">
            <v>383</v>
          </cell>
          <cell r="D20">
            <v>400</v>
          </cell>
          <cell r="E20">
            <v>297</v>
          </cell>
          <cell r="F20">
            <v>86</v>
          </cell>
          <cell r="G20">
            <v>77.545691906005217</v>
          </cell>
          <cell r="H20">
            <v>3.877284595300261</v>
          </cell>
        </row>
        <row r="21">
          <cell r="B21" t="str">
            <v>Munagapaka</v>
          </cell>
          <cell r="C21">
            <v>428</v>
          </cell>
          <cell r="D21">
            <v>392</v>
          </cell>
          <cell r="E21">
            <v>224</v>
          </cell>
          <cell r="F21">
            <v>204</v>
          </cell>
          <cell r="G21">
            <v>52.336448598130843</v>
          </cell>
          <cell r="H21">
            <v>2.6168224299065423</v>
          </cell>
        </row>
        <row r="22">
          <cell r="B22" t="str">
            <v>Nakkapalli</v>
          </cell>
          <cell r="C22">
            <v>551</v>
          </cell>
          <cell r="D22">
            <v>715</v>
          </cell>
          <cell r="E22">
            <v>521</v>
          </cell>
          <cell r="F22">
            <v>30</v>
          </cell>
          <cell r="G22">
            <v>94.555353901996369</v>
          </cell>
          <cell r="H22">
            <v>4.7277676950998186</v>
          </cell>
        </row>
        <row r="23">
          <cell r="B23" t="str">
            <v>Narsipatnam Rural</v>
          </cell>
          <cell r="C23">
            <v>222</v>
          </cell>
          <cell r="D23">
            <v>179</v>
          </cell>
          <cell r="E23">
            <v>158</v>
          </cell>
          <cell r="F23">
            <v>64</v>
          </cell>
          <cell r="G23">
            <v>71.171171171171167</v>
          </cell>
          <cell r="H23">
            <v>3.5585585585585586</v>
          </cell>
        </row>
        <row r="24">
          <cell r="B24" t="str">
            <v>Narsipatnam Town</v>
          </cell>
          <cell r="C24">
            <v>498</v>
          </cell>
          <cell r="D24">
            <v>268</v>
          </cell>
          <cell r="E24">
            <v>191</v>
          </cell>
          <cell r="F24">
            <v>307</v>
          </cell>
          <cell r="G24">
            <v>38.353413654618471</v>
          </cell>
          <cell r="H24">
            <v>1.9176706827309236</v>
          </cell>
        </row>
        <row r="25">
          <cell r="B25" t="str">
            <v>Nathavaram</v>
          </cell>
          <cell r="C25">
            <v>310</v>
          </cell>
          <cell r="D25">
            <v>190</v>
          </cell>
          <cell r="E25">
            <v>136</v>
          </cell>
          <cell r="F25">
            <v>174</v>
          </cell>
          <cell r="G25">
            <v>43.87096774193548</v>
          </cell>
          <cell r="H25">
            <v>2.193548387096774</v>
          </cell>
        </row>
        <row r="26">
          <cell r="B26" t="str">
            <v>Parawada</v>
          </cell>
          <cell r="C26">
            <v>799</v>
          </cell>
          <cell r="D26">
            <v>475</v>
          </cell>
          <cell r="E26">
            <v>304</v>
          </cell>
          <cell r="F26">
            <v>495</v>
          </cell>
          <cell r="G26">
            <v>38.047559449311642</v>
          </cell>
          <cell r="H26">
            <v>1.9023779724655823</v>
          </cell>
        </row>
        <row r="27">
          <cell r="B27" t="str">
            <v>Payakaraopeta</v>
          </cell>
          <cell r="C27">
            <v>760</v>
          </cell>
          <cell r="D27">
            <v>711</v>
          </cell>
          <cell r="E27">
            <v>609</v>
          </cell>
          <cell r="F27">
            <v>151</v>
          </cell>
          <cell r="G27">
            <v>80.131578947368425</v>
          </cell>
          <cell r="H27">
            <v>4.0065789473684212</v>
          </cell>
        </row>
        <row r="28">
          <cell r="B28" t="str">
            <v>Rambilli</v>
          </cell>
          <cell r="C28">
            <v>401</v>
          </cell>
          <cell r="D28">
            <v>310</v>
          </cell>
          <cell r="E28">
            <v>224</v>
          </cell>
          <cell r="F28">
            <v>177</v>
          </cell>
          <cell r="G28">
            <v>55.860349127182047</v>
          </cell>
          <cell r="H28">
            <v>2.7930174563591024</v>
          </cell>
        </row>
        <row r="29">
          <cell r="B29" t="str">
            <v>Ravikamatham</v>
          </cell>
          <cell r="C29">
            <v>218</v>
          </cell>
          <cell r="D29">
            <v>242</v>
          </cell>
          <cell r="E29">
            <v>203</v>
          </cell>
          <cell r="F29">
            <v>15</v>
          </cell>
          <cell r="G29">
            <v>93.11926605504587</v>
          </cell>
          <cell r="H29">
            <v>4.6559633027522933</v>
          </cell>
        </row>
        <row r="30">
          <cell r="B30" t="str">
            <v>Rolugunta</v>
          </cell>
          <cell r="C30">
            <v>232</v>
          </cell>
          <cell r="D30">
            <v>200</v>
          </cell>
          <cell r="E30">
            <v>102</v>
          </cell>
          <cell r="F30">
            <v>130</v>
          </cell>
          <cell r="G30">
            <v>43.96551724137931</v>
          </cell>
          <cell r="H30">
            <v>2.1982758620689657</v>
          </cell>
        </row>
        <row r="31">
          <cell r="B31" t="str">
            <v>S.Rayavaram</v>
          </cell>
          <cell r="C31">
            <v>467</v>
          </cell>
          <cell r="D31">
            <v>407</v>
          </cell>
          <cell r="E31">
            <v>338</v>
          </cell>
          <cell r="F31">
            <v>129</v>
          </cell>
          <cell r="G31">
            <v>72.376873661670231</v>
          </cell>
          <cell r="H31">
            <v>3.6188436830835116</v>
          </cell>
        </row>
        <row r="32">
          <cell r="B32" t="str">
            <v>Sabbavaram</v>
          </cell>
          <cell r="C32">
            <v>533</v>
          </cell>
          <cell r="D32">
            <v>294</v>
          </cell>
          <cell r="E32">
            <v>235</v>
          </cell>
          <cell r="F32">
            <v>298</v>
          </cell>
          <cell r="G32">
            <v>44.090056285178235</v>
          </cell>
          <cell r="H32">
            <v>2.204502814258912</v>
          </cell>
        </row>
        <row r="33">
          <cell r="B33" t="str">
            <v>V.Madugula</v>
          </cell>
          <cell r="C33">
            <v>324</v>
          </cell>
          <cell r="D33">
            <v>591</v>
          </cell>
          <cell r="E33">
            <v>301</v>
          </cell>
          <cell r="F33">
            <v>23</v>
          </cell>
          <cell r="G33">
            <v>92.901234567901241</v>
          </cell>
          <cell r="H33">
            <v>4.6450617283950626</v>
          </cell>
        </row>
        <row r="34">
          <cell r="B34" t="str">
            <v>Yelamanchili Rural</v>
          </cell>
          <cell r="C34">
            <v>339</v>
          </cell>
          <cell r="D34">
            <v>345</v>
          </cell>
          <cell r="E34">
            <v>321</v>
          </cell>
          <cell r="F34">
            <v>18</v>
          </cell>
          <cell r="G34">
            <v>94.690265486725664</v>
          </cell>
          <cell r="H34">
            <v>4.7345132743362832</v>
          </cell>
        </row>
        <row r="35">
          <cell r="B35" t="str">
            <v>Yelamanchili Town</v>
          </cell>
          <cell r="C35">
            <v>254</v>
          </cell>
          <cell r="D35">
            <v>303</v>
          </cell>
          <cell r="E35">
            <v>207</v>
          </cell>
          <cell r="F35">
            <v>47</v>
          </cell>
          <cell r="G35">
            <v>81.496062992125985</v>
          </cell>
          <cell r="H35">
            <v>4.0748031496062991</v>
          </cell>
        </row>
        <row r="36">
          <cell r="B36" t="str">
            <v>Yelamanchili Traffic</v>
          </cell>
          <cell r="C36">
            <v>46</v>
          </cell>
          <cell r="D36">
            <v>48</v>
          </cell>
          <cell r="E36">
            <v>38</v>
          </cell>
          <cell r="F36">
            <v>8</v>
          </cell>
          <cell r="G36">
            <v>82.608695652173907</v>
          </cell>
          <cell r="H36">
            <v>4.1304347826086953</v>
          </cell>
        </row>
        <row r="37">
          <cell r="C37">
            <v>12566</v>
          </cell>
          <cell r="D37">
            <v>11512</v>
          </cell>
          <cell r="E37">
            <v>8242</v>
          </cell>
          <cell r="F37">
            <v>4324</v>
          </cell>
          <cell r="G37">
            <v>68.754865510488543</v>
          </cell>
          <cell r="H37">
            <v>3.4377432755244279</v>
          </cell>
        </row>
      </sheetData>
      <sheetData sheetId="10">
        <row r="2">
          <cell r="B2" t="str">
            <v>PS Name</v>
          </cell>
          <cell r="C2" t="str">
            <v>Total Block Requests Received</v>
          </cell>
          <cell r="D2" t="str">
            <v>Blocked Requests (as on report generation date)</v>
          </cell>
          <cell r="E2" t="str">
            <v>Unblocked Requests (as on report generation date)</v>
          </cell>
          <cell r="F2" t="str">
            <v>Total Traceability Generated (as on report generation date)</v>
          </cell>
          <cell r="G2" t="str">
            <v>Unrecovered Traceability Available (as on report generation date)</v>
          </cell>
          <cell r="H2" t="str">
            <v>Recovered handsets</v>
          </cell>
          <cell r="I2" t="str">
            <v>Accuracy score 
(as per recovery %)
Accuracy score = (Total Recovered handsets by PS so far x 100)/Totaltraceability generated so far
(* so far means cumulative figure at the time of computing the score)</v>
          </cell>
          <cell r="J2" t="str">
            <v>Volume Score (as per no. of handsets recovered)
Volume score = ((Total Recovered handsets so far by PS – Minimum No. of handsets recovered by any PS so far in the District) x 100)/ (Maximum No.of handsets recovered by any PS so far in the DIstrict – Minimum No. ofhandsets recovered by any PS so far in the DIstrict)</v>
          </cell>
          <cell r="K2" t="str">
            <v>Final Score 70: 30
Final score = Accuracy score * 0.7 + Volume score*0.3</v>
          </cell>
          <cell r="L2" t="str">
            <v>Marks</v>
          </cell>
        </row>
        <row r="3">
          <cell r="B3" t="str">
            <v>A.Koduru</v>
          </cell>
          <cell r="H3">
            <v>0</v>
          </cell>
          <cell r="I3">
            <v>0</v>
          </cell>
          <cell r="J3" t="e">
            <v>#DIV/0!</v>
          </cell>
          <cell r="K3">
            <v>0</v>
          </cell>
          <cell r="L3">
            <v>0</v>
          </cell>
        </row>
        <row r="4">
          <cell r="B4" t="str">
            <v>Anakapalli Rural</v>
          </cell>
          <cell r="H4">
            <v>0</v>
          </cell>
          <cell r="I4">
            <v>0</v>
          </cell>
          <cell r="J4" t="e">
            <v>#DIV/0!</v>
          </cell>
          <cell r="K4">
            <v>0</v>
          </cell>
          <cell r="L4">
            <v>0</v>
          </cell>
        </row>
        <row r="5">
          <cell r="B5" t="str">
            <v>Anakapalli Town</v>
          </cell>
          <cell r="H5">
            <v>0</v>
          </cell>
          <cell r="I5">
            <v>0</v>
          </cell>
          <cell r="J5" t="e">
            <v>#DIV/0!</v>
          </cell>
          <cell r="K5">
            <v>0</v>
          </cell>
          <cell r="L5">
            <v>0</v>
          </cell>
        </row>
        <row r="6">
          <cell r="B6" t="str">
            <v>Anakapalli Traffic</v>
          </cell>
          <cell r="H6">
            <v>0</v>
          </cell>
          <cell r="I6">
            <v>0</v>
          </cell>
          <cell r="J6" t="e">
            <v>#DIV/0!</v>
          </cell>
          <cell r="K6">
            <v>0</v>
          </cell>
          <cell r="L6">
            <v>0</v>
          </cell>
        </row>
        <row r="7">
          <cell r="B7" t="str">
            <v>Atchutapuram</v>
          </cell>
          <cell r="H7">
            <v>0</v>
          </cell>
          <cell r="I7">
            <v>0</v>
          </cell>
          <cell r="J7" t="e">
            <v>#DIV/0!</v>
          </cell>
          <cell r="K7">
            <v>0</v>
          </cell>
          <cell r="L7">
            <v>0</v>
          </cell>
        </row>
        <row r="8">
          <cell r="B8" t="str">
            <v>Butchiyyapeta</v>
          </cell>
          <cell r="H8">
            <v>0</v>
          </cell>
          <cell r="I8">
            <v>0</v>
          </cell>
          <cell r="J8" t="e">
            <v>#DIV/0!</v>
          </cell>
          <cell r="K8">
            <v>0</v>
          </cell>
          <cell r="L8">
            <v>0</v>
          </cell>
        </row>
        <row r="9">
          <cell r="B9" t="str">
            <v>Cheedikada</v>
          </cell>
          <cell r="H9">
            <v>0</v>
          </cell>
          <cell r="I9">
            <v>0</v>
          </cell>
          <cell r="J9" t="e">
            <v>#DIV/0!</v>
          </cell>
          <cell r="K9">
            <v>0</v>
          </cell>
          <cell r="L9">
            <v>0</v>
          </cell>
        </row>
        <row r="10">
          <cell r="B10" t="str">
            <v>Chodavaram</v>
          </cell>
          <cell r="H10">
            <v>0</v>
          </cell>
          <cell r="I10">
            <v>0</v>
          </cell>
          <cell r="J10" t="e">
            <v>#DIV/0!</v>
          </cell>
          <cell r="K10">
            <v>0</v>
          </cell>
          <cell r="L10">
            <v>0</v>
          </cell>
        </row>
        <row r="11">
          <cell r="B11" t="str">
            <v>Devarapalli</v>
          </cell>
          <cell r="H11">
            <v>0</v>
          </cell>
          <cell r="I11">
            <v>0</v>
          </cell>
          <cell r="J11" t="e">
            <v>#DIV/0!</v>
          </cell>
          <cell r="K11">
            <v>0</v>
          </cell>
          <cell r="L11">
            <v>0</v>
          </cell>
        </row>
        <row r="12">
          <cell r="B12" t="str">
            <v>Golugonda</v>
          </cell>
          <cell r="H12">
            <v>0</v>
          </cell>
          <cell r="I12">
            <v>0</v>
          </cell>
          <cell r="J12" t="e">
            <v>#DIV/0!</v>
          </cell>
          <cell r="K12">
            <v>0</v>
          </cell>
          <cell r="L12">
            <v>0</v>
          </cell>
        </row>
        <row r="13">
          <cell r="B13" t="str">
            <v>K.D.Peta</v>
          </cell>
          <cell r="H13">
            <v>0</v>
          </cell>
          <cell r="I13">
            <v>0</v>
          </cell>
          <cell r="J13" t="e">
            <v>#DIV/0!</v>
          </cell>
          <cell r="K13">
            <v>0</v>
          </cell>
          <cell r="L13">
            <v>0</v>
          </cell>
        </row>
        <row r="14">
          <cell r="B14" t="str">
            <v>K.Kotapadu</v>
          </cell>
          <cell r="H14">
            <v>0</v>
          </cell>
          <cell r="I14">
            <v>0</v>
          </cell>
          <cell r="J14" t="e">
            <v>#DIV/0!</v>
          </cell>
          <cell r="K14">
            <v>0</v>
          </cell>
          <cell r="L14">
            <v>0</v>
          </cell>
        </row>
        <row r="15">
          <cell r="B15" t="str">
            <v>Kasimkota</v>
          </cell>
          <cell r="H15">
            <v>0</v>
          </cell>
          <cell r="I15">
            <v>0</v>
          </cell>
          <cell r="J15" t="e">
            <v>#DIV/0!</v>
          </cell>
          <cell r="K15">
            <v>0</v>
          </cell>
          <cell r="L15">
            <v>0</v>
          </cell>
        </row>
        <row r="16">
          <cell r="B16" t="str">
            <v>Kotavurtla</v>
          </cell>
          <cell r="H16">
            <v>0</v>
          </cell>
          <cell r="I16">
            <v>0</v>
          </cell>
          <cell r="J16" t="e">
            <v>#DIV/0!</v>
          </cell>
          <cell r="K16">
            <v>0</v>
          </cell>
          <cell r="L16">
            <v>0</v>
          </cell>
        </row>
        <row r="17">
          <cell r="B17" t="str">
            <v>Kothakota</v>
          </cell>
          <cell r="H17">
            <v>0</v>
          </cell>
          <cell r="I17">
            <v>0</v>
          </cell>
          <cell r="J17" t="e">
            <v>#DIV/0!</v>
          </cell>
          <cell r="K17">
            <v>0</v>
          </cell>
          <cell r="L17">
            <v>0</v>
          </cell>
        </row>
        <row r="18">
          <cell r="B18" t="str">
            <v>Mahila UPS, Anakapalli</v>
          </cell>
          <cell r="H18">
            <v>0</v>
          </cell>
          <cell r="I18">
            <v>0</v>
          </cell>
          <cell r="J18" t="e">
            <v>#DIV/0!</v>
          </cell>
          <cell r="K18">
            <v>0</v>
          </cell>
          <cell r="L18">
            <v>0</v>
          </cell>
        </row>
        <row r="19">
          <cell r="B19" t="str">
            <v>Makavarapalem</v>
          </cell>
          <cell r="H19">
            <v>0</v>
          </cell>
          <cell r="I19">
            <v>0</v>
          </cell>
          <cell r="J19" t="e">
            <v>#DIV/0!</v>
          </cell>
          <cell r="K19">
            <v>0</v>
          </cell>
          <cell r="L19">
            <v>0</v>
          </cell>
        </row>
        <row r="20">
          <cell r="B20" t="str">
            <v>Munagapaka</v>
          </cell>
          <cell r="H20">
            <v>0</v>
          </cell>
          <cell r="I20">
            <v>0</v>
          </cell>
          <cell r="J20" t="e">
            <v>#DIV/0!</v>
          </cell>
          <cell r="K20">
            <v>0</v>
          </cell>
          <cell r="L20">
            <v>0</v>
          </cell>
        </row>
        <row r="21">
          <cell r="B21" t="str">
            <v>Nakkapalli</v>
          </cell>
          <cell r="H21">
            <v>0</v>
          </cell>
          <cell r="I21">
            <v>0</v>
          </cell>
          <cell r="J21" t="e">
            <v>#DIV/0!</v>
          </cell>
          <cell r="K21">
            <v>0</v>
          </cell>
          <cell r="L21">
            <v>0</v>
          </cell>
        </row>
        <row r="22">
          <cell r="B22" t="str">
            <v>Narsipatnam Rural</v>
          </cell>
          <cell r="H22">
            <v>0</v>
          </cell>
          <cell r="I22">
            <v>0</v>
          </cell>
          <cell r="J22" t="e">
            <v>#DIV/0!</v>
          </cell>
          <cell r="K22">
            <v>0</v>
          </cell>
          <cell r="L22">
            <v>0</v>
          </cell>
        </row>
        <row r="23">
          <cell r="B23" t="str">
            <v>Narsipatnam Town</v>
          </cell>
          <cell r="H23">
            <v>0</v>
          </cell>
          <cell r="I23">
            <v>0</v>
          </cell>
          <cell r="J23" t="e">
            <v>#DIV/0!</v>
          </cell>
          <cell r="K23">
            <v>0</v>
          </cell>
          <cell r="L23">
            <v>0</v>
          </cell>
        </row>
        <row r="24">
          <cell r="B24" t="str">
            <v>Nathavaram</v>
          </cell>
          <cell r="H24">
            <v>0</v>
          </cell>
          <cell r="I24">
            <v>0</v>
          </cell>
          <cell r="J24" t="e">
            <v>#DIV/0!</v>
          </cell>
          <cell r="K24">
            <v>0</v>
          </cell>
          <cell r="L24">
            <v>0</v>
          </cell>
        </row>
        <row r="25">
          <cell r="B25" t="str">
            <v>Parawada</v>
          </cell>
          <cell r="H25">
            <v>0</v>
          </cell>
          <cell r="I25">
            <v>0</v>
          </cell>
          <cell r="J25" t="e">
            <v>#DIV/0!</v>
          </cell>
          <cell r="K25">
            <v>0</v>
          </cell>
          <cell r="L25">
            <v>0</v>
          </cell>
        </row>
        <row r="26">
          <cell r="B26" t="str">
            <v>Payakaraopeta</v>
          </cell>
          <cell r="H26">
            <v>0</v>
          </cell>
          <cell r="I26">
            <v>0</v>
          </cell>
          <cell r="J26" t="e">
            <v>#DIV/0!</v>
          </cell>
          <cell r="K26">
            <v>0</v>
          </cell>
          <cell r="L26">
            <v>0</v>
          </cell>
        </row>
        <row r="27">
          <cell r="B27" t="str">
            <v>Rambilli</v>
          </cell>
          <cell r="H27">
            <v>0</v>
          </cell>
          <cell r="I27">
            <v>0</v>
          </cell>
          <cell r="J27" t="e">
            <v>#DIV/0!</v>
          </cell>
          <cell r="K27">
            <v>0</v>
          </cell>
          <cell r="L27">
            <v>0</v>
          </cell>
        </row>
        <row r="28">
          <cell r="B28" t="str">
            <v>Ravikamatham</v>
          </cell>
          <cell r="H28">
            <v>0</v>
          </cell>
          <cell r="I28">
            <v>0</v>
          </cell>
          <cell r="J28" t="e">
            <v>#DIV/0!</v>
          </cell>
          <cell r="K28">
            <v>0</v>
          </cell>
          <cell r="L28">
            <v>0</v>
          </cell>
        </row>
        <row r="29">
          <cell r="B29" t="str">
            <v>Rolugunta</v>
          </cell>
          <cell r="H29">
            <v>0</v>
          </cell>
          <cell r="I29">
            <v>0</v>
          </cell>
          <cell r="J29" t="e">
            <v>#DIV/0!</v>
          </cell>
          <cell r="K29">
            <v>0</v>
          </cell>
          <cell r="L29">
            <v>0</v>
          </cell>
        </row>
        <row r="30">
          <cell r="B30" t="str">
            <v>S.Rayavaram</v>
          </cell>
          <cell r="H30">
            <v>0</v>
          </cell>
          <cell r="I30">
            <v>0</v>
          </cell>
          <cell r="J30" t="e">
            <v>#DIV/0!</v>
          </cell>
          <cell r="K30">
            <v>0</v>
          </cell>
          <cell r="L30">
            <v>0</v>
          </cell>
        </row>
        <row r="31">
          <cell r="B31" t="str">
            <v>Sabbavaram</v>
          </cell>
          <cell r="H31">
            <v>0</v>
          </cell>
          <cell r="I31">
            <v>0</v>
          </cell>
          <cell r="J31" t="e">
            <v>#DIV/0!</v>
          </cell>
          <cell r="K31">
            <v>0</v>
          </cell>
          <cell r="L31">
            <v>0</v>
          </cell>
        </row>
        <row r="32">
          <cell r="B32" t="str">
            <v>V.Madugula</v>
          </cell>
          <cell r="H32">
            <v>0</v>
          </cell>
          <cell r="I32">
            <v>0</v>
          </cell>
          <cell r="J32" t="e">
            <v>#DIV/0!</v>
          </cell>
          <cell r="K32">
            <v>0</v>
          </cell>
          <cell r="L32">
            <v>0</v>
          </cell>
        </row>
        <row r="33">
          <cell r="B33" t="str">
            <v>Yelamanchili Rural</v>
          </cell>
          <cell r="H33">
            <v>0</v>
          </cell>
          <cell r="I33">
            <v>0</v>
          </cell>
          <cell r="J33" t="e">
            <v>#DIV/0!</v>
          </cell>
          <cell r="K33">
            <v>0</v>
          </cell>
          <cell r="L33">
            <v>0</v>
          </cell>
        </row>
        <row r="34">
          <cell r="B34" t="str">
            <v>Yelamanchili Town</v>
          </cell>
          <cell r="H34">
            <v>0</v>
          </cell>
          <cell r="I34">
            <v>0</v>
          </cell>
          <cell r="J34" t="e">
            <v>#DIV/0!</v>
          </cell>
          <cell r="K34">
            <v>0</v>
          </cell>
          <cell r="L34">
            <v>0</v>
          </cell>
        </row>
        <row r="35">
          <cell r="B35" t="str">
            <v>Yelamanchili Traffic</v>
          </cell>
          <cell r="H35">
            <v>0</v>
          </cell>
          <cell r="I35">
            <v>0</v>
          </cell>
          <cell r="J35" t="e">
            <v>#DIV/0!</v>
          </cell>
          <cell r="K35">
            <v>0</v>
          </cell>
          <cell r="L35">
            <v>0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 t="e">
            <v>#DIV/0!</v>
          </cell>
          <cell r="K36">
            <v>0</v>
          </cell>
          <cell r="L36">
            <v>0</v>
          </cell>
        </row>
      </sheetData>
      <sheetData sheetId="11">
        <row r="3">
          <cell r="B3" t="str">
            <v>POLICE STATION</v>
          </cell>
          <cell r="C3" t="str">
            <v>Total
 Cases Charged</v>
          </cell>
          <cell r="D3" t="str">
            <v>No. of cases
 eProc created</v>
          </cell>
          <cell r="E3" t="str">
            <v>Raw Value
if UI = 0 
( 100 points)</v>
          </cell>
          <cell r="F3" t="str">
            <v>Marks</v>
          </cell>
        </row>
        <row r="4">
          <cell r="B4" t="str">
            <v>A.Koduru</v>
          </cell>
          <cell r="C4">
            <v>2</v>
          </cell>
          <cell r="D4">
            <v>1</v>
          </cell>
          <cell r="E4">
            <v>50</v>
          </cell>
          <cell r="F4">
            <v>2.5</v>
          </cell>
        </row>
        <row r="5">
          <cell r="B5" t="str">
            <v>Anakapalli Rural</v>
          </cell>
          <cell r="C5">
            <v>3</v>
          </cell>
          <cell r="D5">
            <v>1</v>
          </cell>
          <cell r="E5">
            <v>33.333333333333336</v>
          </cell>
          <cell r="F5">
            <v>1.666666666666667</v>
          </cell>
        </row>
        <row r="6">
          <cell r="B6" t="str">
            <v>Anakapalli Town</v>
          </cell>
          <cell r="C6">
            <v>4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Anakapalli Traffic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Atchutapuram</v>
          </cell>
          <cell r="C8">
            <v>1</v>
          </cell>
          <cell r="D8">
            <v>1</v>
          </cell>
          <cell r="E8">
            <v>100</v>
          </cell>
          <cell r="F8">
            <v>5</v>
          </cell>
        </row>
        <row r="9">
          <cell r="B9" t="str">
            <v>Butchiyyapeta</v>
          </cell>
          <cell r="C9">
            <v>4</v>
          </cell>
          <cell r="D9">
            <v>2</v>
          </cell>
          <cell r="E9">
            <v>50</v>
          </cell>
          <cell r="F9">
            <v>2.5</v>
          </cell>
        </row>
        <row r="10">
          <cell r="B10" t="str">
            <v>Cheedikada</v>
          </cell>
          <cell r="C10">
            <v>2</v>
          </cell>
          <cell r="D10">
            <v>1</v>
          </cell>
          <cell r="E10">
            <v>50</v>
          </cell>
          <cell r="F10">
            <v>2.5</v>
          </cell>
        </row>
        <row r="11">
          <cell r="B11" t="str">
            <v>Chodavaram</v>
          </cell>
          <cell r="C11">
            <v>3</v>
          </cell>
          <cell r="D11">
            <v>2</v>
          </cell>
          <cell r="E11">
            <v>66.666666666666671</v>
          </cell>
          <cell r="F11">
            <v>3.3333333333333339</v>
          </cell>
        </row>
        <row r="12">
          <cell r="B12" t="str">
            <v>Devarapalli</v>
          </cell>
          <cell r="C12">
            <v>1</v>
          </cell>
          <cell r="D12">
            <v>1</v>
          </cell>
          <cell r="E12">
            <v>100</v>
          </cell>
          <cell r="F12">
            <v>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100</v>
          </cell>
          <cell r="F13">
            <v>5</v>
          </cell>
        </row>
        <row r="14">
          <cell r="B14" t="str">
            <v>K.D.Peta</v>
          </cell>
          <cell r="C14">
            <v>3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K.Kotapadu</v>
          </cell>
          <cell r="C15">
            <v>1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Kasimkota</v>
          </cell>
          <cell r="C16">
            <v>5</v>
          </cell>
          <cell r="D16">
            <v>1</v>
          </cell>
          <cell r="E16">
            <v>20</v>
          </cell>
          <cell r="F16">
            <v>1</v>
          </cell>
        </row>
        <row r="17">
          <cell r="B17" t="str">
            <v>Kotavurtla</v>
          </cell>
          <cell r="C17">
            <v>2</v>
          </cell>
          <cell r="D17">
            <v>1</v>
          </cell>
          <cell r="E17">
            <v>50</v>
          </cell>
          <cell r="F17">
            <v>2.5</v>
          </cell>
        </row>
        <row r="18">
          <cell r="B18" t="str">
            <v>Kothakota</v>
          </cell>
          <cell r="C18">
            <v>2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Mahila UPS, Anakapalli</v>
          </cell>
          <cell r="C19">
            <v>0</v>
          </cell>
          <cell r="D19">
            <v>0</v>
          </cell>
          <cell r="E19">
            <v>100</v>
          </cell>
          <cell r="F19">
            <v>5</v>
          </cell>
        </row>
        <row r="20">
          <cell r="B20" t="str">
            <v>Makavarapalem</v>
          </cell>
          <cell r="C20">
            <v>1</v>
          </cell>
          <cell r="D20">
            <v>1</v>
          </cell>
          <cell r="E20">
            <v>100</v>
          </cell>
          <cell r="F20">
            <v>5</v>
          </cell>
        </row>
        <row r="21">
          <cell r="B21" t="str">
            <v>Munagapaka</v>
          </cell>
          <cell r="C21">
            <v>3</v>
          </cell>
          <cell r="D21">
            <v>3</v>
          </cell>
          <cell r="E21">
            <v>100</v>
          </cell>
          <cell r="F21">
            <v>5</v>
          </cell>
        </row>
        <row r="22">
          <cell r="B22" t="str">
            <v>Nakkapalli</v>
          </cell>
          <cell r="C22">
            <v>3</v>
          </cell>
          <cell r="D22">
            <v>1</v>
          </cell>
          <cell r="E22">
            <v>33.333333333333336</v>
          </cell>
          <cell r="F22">
            <v>1.666666666666667</v>
          </cell>
        </row>
        <row r="23">
          <cell r="B23" t="str">
            <v>Narsipatnam Rural</v>
          </cell>
          <cell r="C23">
            <v>1</v>
          </cell>
          <cell r="D23">
            <v>1</v>
          </cell>
          <cell r="E23">
            <v>100</v>
          </cell>
          <cell r="F23">
            <v>5</v>
          </cell>
        </row>
        <row r="24">
          <cell r="B24" t="str">
            <v>Narsipatnam Town</v>
          </cell>
          <cell r="C24">
            <v>2</v>
          </cell>
          <cell r="D24">
            <v>2</v>
          </cell>
          <cell r="E24">
            <v>100</v>
          </cell>
          <cell r="F24">
            <v>5</v>
          </cell>
        </row>
        <row r="25">
          <cell r="B25" t="str">
            <v>Nathavaram</v>
          </cell>
          <cell r="C25">
            <v>7</v>
          </cell>
          <cell r="D25">
            <v>1</v>
          </cell>
          <cell r="E25">
            <v>14.285714285714286</v>
          </cell>
          <cell r="F25">
            <v>0.71428571428571441</v>
          </cell>
        </row>
        <row r="26">
          <cell r="B26" t="str">
            <v>Parawada</v>
          </cell>
          <cell r="C26">
            <v>7</v>
          </cell>
          <cell r="D26">
            <v>1</v>
          </cell>
          <cell r="E26">
            <v>14.285714285714286</v>
          </cell>
          <cell r="F26">
            <v>0.71428571428571441</v>
          </cell>
        </row>
        <row r="27">
          <cell r="B27" t="str">
            <v>Payakaraopeta</v>
          </cell>
          <cell r="C27">
            <v>2</v>
          </cell>
          <cell r="D27">
            <v>2</v>
          </cell>
          <cell r="E27">
            <v>100</v>
          </cell>
          <cell r="F27">
            <v>5</v>
          </cell>
        </row>
        <row r="28">
          <cell r="B28" t="str">
            <v>Rambilli</v>
          </cell>
          <cell r="C28">
            <v>4</v>
          </cell>
          <cell r="D28">
            <v>1</v>
          </cell>
          <cell r="E28">
            <v>25</v>
          </cell>
          <cell r="F28">
            <v>1.25</v>
          </cell>
        </row>
        <row r="29">
          <cell r="B29" t="str">
            <v>Ravikamatham</v>
          </cell>
          <cell r="C29">
            <v>1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Rolugunta</v>
          </cell>
          <cell r="C30">
            <v>4</v>
          </cell>
          <cell r="D30">
            <v>1</v>
          </cell>
          <cell r="E30">
            <v>25</v>
          </cell>
          <cell r="F30">
            <v>1.25</v>
          </cell>
        </row>
        <row r="31">
          <cell r="B31" t="str">
            <v>S.Rayavaram</v>
          </cell>
          <cell r="C31">
            <v>4</v>
          </cell>
          <cell r="D31">
            <v>1</v>
          </cell>
          <cell r="E31">
            <v>25</v>
          </cell>
          <cell r="F31">
            <v>1.25</v>
          </cell>
        </row>
        <row r="32">
          <cell r="B32" t="str">
            <v>Sabbavaram</v>
          </cell>
          <cell r="C32">
            <v>5</v>
          </cell>
          <cell r="D32">
            <v>1</v>
          </cell>
          <cell r="E32">
            <v>20</v>
          </cell>
          <cell r="F32">
            <v>1</v>
          </cell>
        </row>
        <row r="33">
          <cell r="B33" t="str">
            <v>V.Madugula</v>
          </cell>
          <cell r="C33">
            <v>1</v>
          </cell>
          <cell r="D33">
            <v>1</v>
          </cell>
          <cell r="E33">
            <v>100</v>
          </cell>
          <cell r="F33">
            <v>5</v>
          </cell>
        </row>
        <row r="34">
          <cell r="B34" t="str">
            <v>Yelamanchili Rural</v>
          </cell>
          <cell r="C34">
            <v>4</v>
          </cell>
          <cell r="D34">
            <v>4</v>
          </cell>
          <cell r="E34">
            <v>100</v>
          </cell>
          <cell r="F34">
            <v>5</v>
          </cell>
        </row>
        <row r="35">
          <cell r="B35" t="str">
            <v>Yelamanchili Town</v>
          </cell>
          <cell r="C35">
            <v>1</v>
          </cell>
          <cell r="D35">
            <v>0</v>
          </cell>
          <cell r="E35">
            <v>0</v>
          </cell>
          <cell r="F35">
            <v>0</v>
          </cell>
        </row>
        <row r="36">
          <cell r="B36" t="str">
            <v>Yelamanchili Traffic</v>
          </cell>
          <cell r="C36">
            <v>2</v>
          </cell>
          <cell r="D36">
            <v>2</v>
          </cell>
          <cell r="E36">
            <v>100</v>
          </cell>
          <cell r="F36">
            <v>5</v>
          </cell>
        </row>
      </sheetData>
      <sheetData sheetId="12">
        <row r="2">
          <cell r="B2" t="str">
            <v>POLICE STATION</v>
          </cell>
          <cell r="C2" t="str">
            <v>Total FIRs Registered</v>
          </cell>
          <cell r="D2" t="str">
            <v>FIRs Consumed in Court</v>
          </cell>
          <cell r="E2" t="str">
            <v>FIR Raw Value</v>
          </cell>
          <cell r="F2" t="str">
            <v>Marks
(2.5)</v>
          </cell>
          <cell r="G2" t="str">
            <v>Charge sheets Filed</v>
          </cell>
          <cell r="H2" t="str">
            <v>Chargesheets Consumed in Court</v>
          </cell>
          <cell r="I2" t="str">
            <v>Charge Sheet Raw Value</v>
          </cell>
          <cell r="J2" t="str">
            <v>Marks
(2.5)</v>
          </cell>
          <cell r="K2" t="str">
            <v>TOTAL MARKS
(5)</v>
          </cell>
          <cell r="L2" t="str">
            <v>Final Raw Value</v>
          </cell>
        </row>
        <row r="3">
          <cell r="B3" t="str">
            <v>A.Koduru</v>
          </cell>
          <cell r="C3">
            <v>18</v>
          </cell>
          <cell r="D3">
            <v>18</v>
          </cell>
          <cell r="E3">
            <v>100</v>
          </cell>
          <cell r="F3">
            <v>2.5</v>
          </cell>
          <cell r="G3">
            <v>12</v>
          </cell>
          <cell r="H3">
            <v>10</v>
          </cell>
          <cell r="I3">
            <v>83.333333333333329</v>
          </cell>
          <cell r="J3">
            <v>2.0833333333333335</v>
          </cell>
          <cell r="K3">
            <v>4.5833333333333339</v>
          </cell>
          <cell r="L3">
            <v>91.666666666666657</v>
          </cell>
        </row>
        <row r="4">
          <cell r="B4" t="str">
            <v>Anakapalli Rural</v>
          </cell>
          <cell r="C4">
            <v>91</v>
          </cell>
          <cell r="D4">
            <v>6</v>
          </cell>
          <cell r="E4">
            <v>6.5934065934065931</v>
          </cell>
          <cell r="F4">
            <v>0.16483516483516483</v>
          </cell>
          <cell r="G4">
            <v>57</v>
          </cell>
          <cell r="H4">
            <v>56</v>
          </cell>
          <cell r="I4">
            <v>98.245614035087726</v>
          </cell>
          <cell r="J4">
            <v>2.4561403508771935</v>
          </cell>
          <cell r="K4">
            <v>2.6209755157123582</v>
          </cell>
          <cell r="L4">
            <v>52.419510314247162</v>
          </cell>
        </row>
        <row r="5">
          <cell r="B5" t="str">
            <v>Anakapalli Town</v>
          </cell>
          <cell r="C5">
            <v>104</v>
          </cell>
          <cell r="D5">
            <v>1</v>
          </cell>
          <cell r="E5">
            <v>0.96153846153846156</v>
          </cell>
          <cell r="F5">
            <v>2.403846153846154E-2</v>
          </cell>
          <cell r="G5">
            <v>47</v>
          </cell>
          <cell r="H5">
            <v>47</v>
          </cell>
          <cell r="I5">
            <v>100</v>
          </cell>
          <cell r="J5">
            <v>2.5</v>
          </cell>
          <cell r="K5">
            <v>2.5240384615384617</v>
          </cell>
          <cell r="L5">
            <v>50.480769230769234</v>
          </cell>
        </row>
        <row r="6">
          <cell r="B6" t="str">
            <v>Anakapalli Traffic</v>
          </cell>
          <cell r="C6">
            <v>73</v>
          </cell>
          <cell r="D6">
            <v>5</v>
          </cell>
          <cell r="E6">
            <v>6.8493150684931505</v>
          </cell>
          <cell r="F6">
            <v>0.17123287671232879</v>
          </cell>
          <cell r="G6">
            <v>52</v>
          </cell>
          <cell r="H6">
            <v>51</v>
          </cell>
          <cell r="I6">
            <v>98.07692307692308</v>
          </cell>
          <cell r="J6">
            <v>2.4519230769230771</v>
          </cell>
          <cell r="K6">
            <v>2.6231559536354059</v>
          </cell>
          <cell r="L6">
            <v>52.463119072708118</v>
          </cell>
        </row>
        <row r="7">
          <cell r="B7" t="str">
            <v>Atchutapuram</v>
          </cell>
          <cell r="C7">
            <v>107</v>
          </cell>
          <cell r="D7">
            <v>107</v>
          </cell>
          <cell r="E7">
            <v>100</v>
          </cell>
          <cell r="F7">
            <v>2.5</v>
          </cell>
          <cell r="G7">
            <v>74</v>
          </cell>
          <cell r="H7">
            <v>64</v>
          </cell>
          <cell r="I7">
            <v>86.486486486486484</v>
          </cell>
          <cell r="J7">
            <v>2.1621621621621623</v>
          </cell>
          <cell r="K7">
            <v>4.6621621621621623</v>
          </cell>
          <cell r="L7">
            <v>93.243243243243242</v>
          </cell>
        </row>
        <row r="8">
          <cell r="B8" t="str">
            <v>Butchiyyapeta</v>
          </cell>
          <cell r="C8">
            <v>40</v>
          </cell>
          <cell r="D8">
            <v>40</v>
          </cell>
          <cell r="E8">
            <v>100</v>
          </cell>
          <cell r="F8">
            <v>2.5</v>
          </cell>
          <cell r="G8">
            <v>19</v>
          </cell>
          <cell r="H8">
            <v>19</v>
          </cell>
          <cell r="I8">
            <v>100</v>
          </cell>
          <cell r="J8">
            <v>2.5</v>
          </cell>
          <cell r="K8">
            <v>5</v>
          </cell>
          <cell r="L8">
            <v>100</v>
          </cell>
        </row>
        <row r="9">
          <cell r="B9" t="str">
            <v>Cheedikada</v>
          </cell>
          <cell r="C9">
            <v>23</v>
          </cell>
          <cell r="D9">
            <v>23</v>
          </cell>
          <cell r="E9">
            <v>100</v>
          </cell>
          <cell r="F9">
            <v>2.5</v>
          </cell>
          <cell r="G9">
            <v>11</v>
          </cell>
          <cell r="H9">
            <v>11</v>
          </cell>
          <cell r="I9">
            <v>100</v>
          </cell>
          <cell r="J9">
            <v>2.5</v>
          </cell>
          <cell r="K9">
            <v>5</v>
          </cell>
          <cell r="L9">
            <v>100</v>
          </cell>
        </row>
        <row r="10">
          <cell r="B10" t="str">
            <v>Chodavaram</v>
          </cell>
          <cell r="C10">
            <v>102</v>
          </cell>
          <cell r="D10">
            <v>98</v>
          </cell>
          <cell r="E10">
            <v>96.078431372549019</v>
          </cell>
          <cell r="F10">
            <v>2.4019607843137258</v>
          </cell>
          <cell r="G10">
            <v>45</v>
          </cell>
          <cell r="H10">
            <v>44</v>
          </cell>
          <cell r="I10">
            <v>97.777777777777771</v>
          </cell>
          <cell r="J10">
            <v>2.4444444444444446</v>
          </cell>
          <cell r="K10">
            <v>4.8464052287581705</v>
          </cell>
          <cell r="L10">
            <v>96.928104575163388</v>
          </cell>
        </row>
        <row r="11">
          <cell r="B11" t="str">
            <v>Devarapalli</v>
          </cell>
          <cell r="C11">
            <v>24</v>
          </cell>
          <cell r="D11">
            <v>24</v>
          </cell>
          <cell r="E11">
            <v>100</v>
          </cell>
          <cell r="F11">
            <v>2.5</v>
          </cell>
          <cell r="G11">
            <v>14</v>
          </cell>
          <cell r="H11">
            <v>14</v>
          </cell>
          <cell r="I11">
            <v>100</v>
          </cell>
          <cell r="J11">
            <v>2.5</v>
          </cell>
          <cell r="K11">
            <v>5</v>
          </cell>
          <cell r="L11">
            <v>100</v>
          </cell>
        </row>
        <row r="12">
          <cell r="B12" t="str">
            <v>Golugonda</v>
          </cell>
          <cell r="C12">
            <v>29</v>
          </cell>
          <cell r="D12">
            <v>29</v>
          </cell>
          <cell r="E12">
            <v>100</v>
          </cell>
          <cell r="F12">
            <v>2.5</v>
          </cell>
          <cell r="G12">
            <v>22</v>
          </cell>
          <cell r="H12">
            <v>22</v>
          </cell>
          <cell r="I12">
            <v>100</v>
          </cell>
          <cell r="J12">
            <v>2.5</v>
          </cell>
          <cell r="K12">
            <v>5</v>
          </cell>
          <cell r="L12">
            <v>100</v>
          </cell>
        </row>
        <row r="13">
          <cell r="B13" t="str">
            <v>K.D.Peta</v>
          </cell>
          <cell r="C13">
            <v>12</v>
          </cell>
          <cell r="D13">
            <v>11</v>
          </cell>
          <cell r="E13">
            <v>91.666666666666671</v>
          </cell>
          <cell r="F13">
            <v>2.291666666666667</v>
          </cell>
          <cell r="G13">
            <v>6</v>
          </cell>
          <cell r="H13">
            <v>6</v>
          </cell>
          <cell r="I13">
            <v>100</v>
          </cell>
          <cell r="J13">
            <v>2.5</v>
          </cell>
          <cell r="K13">
            <v>4.791666666666667</v>
          </cell>
          <cell r="L13">
            <v>95.833333333333343</v>
          </cell>
        </row>
        <row r="14">
          <cell r="B14" t="str">
            <v>K.Kotapadu</v>
          </cell>
          <cell r="C14">
            <v>26</v>
          </cell>
          <cell r="D14">
            <v>26</v>
          </cell>
          <cell r="E14">
            <v>100</v>
          </cell>
          <cell r="F14">
            <v>2.5</v>
          </cell>
          <cell r="G14">
            <v>14</v>
          </cell>
          <cell r="H14">
            <v>12</v>
          </cell>
          <cell r="I14">
            <v>85.714285714285708</v>
          </cell>
          <cell r="J14">
            <v>2.1428571428571428</v>
          </cell>
          <cell r="K14">
            <v>4.6428571428571423</v>
          </cell>
          <cell r="L14">
            <v>92.857142857142861</v>
          </cell>
        </row>
        <row r="15">
          <cell r="B15" t="str">
            <v>Kasimkota</v>
          </cell>
          <cell r="C15">
            <v>103</v>
          </cell>
          <cell r="D15">
            <v>4</v>
          </cell>
          <cell r="E15">
            <v>3.883495145631068</v>
          </cell>
          <cell r="F15">
            <v>9.7087378640776711E-2</v>
          </cell>
          <cell r="G15">
            <v>62</v>
          </cell>
          <cell r="H15">
            <v>61</v>
          </cell>
          <cell r="I15">
            <v>98.387096774193552</v>
          </cell>
          <cell r="J15">
            <v>2.459677419354839</v>
          </cell>
          <cell r="K15">
            <v>2.5567647979956156</v>
          </cell>
          <cell r="L15">
            <v>51.135295959912312</v>
          </cell>
        </row>
        <row r="16">
          <cell r="B16" t="str">
            <v>Kotavurtla</v>
          </cell>
          <cell r="C16">
            <v>36</v>
          </cell>
          <cell r="D16">
            <v>36</v>
          </cell>
          <cell r="E16">
            <v>100</v>
          </cell>
          <cell r="F16">
            <v>2.5</v>
          </cell>
          <cell r="G16">
            <v>19</v>
          </cell>
          <cell r="H16">
            <v>19</v>
          </cell>
          <cell r="I16">
            <v>100</v>
          </cell>
          <cell r="J16">
            <v>2.5</v>
          </cell>
          <cell r="K16">
            <v>5</v>
          </cell>
          <cell r="L16">
            <v>100</v>
          </cell>
        </row>
        <row r="17">
          <cell r="B17" t="str">
            <v>Kothakota</v>
          </cell>
          <cell r="C17">
            <v>16</v>
          </cell>
          <cell r="D17">
            <v>16</v>
          </cell>
          <cell r="E17">
            <v>100</v>
          </cell>
          <cell r="F17">
            <v>2.5</v>
          </cell>
          <cell r="G17">
            <v>13</v>
          </cell>
          <cell r="H17">
            <v>13</v>
          </cell>
          <cell r="I17">
            <v>100</v>
          </cell>
          <cell r="J17">
            <v>2.5</v>
          </cell>
          <cell r="K17">
            <v>5</v>
          </cell>
          <cell r="L17">
            <v>100</v>
          </cell>
        </row>
        <row r="18">
          <cell r="B18" t="str">
            <v>Mahila UPS, Anakapalli</v>
          </cell>
          <cell r="C18">
            <v>37</v>
          </cell>
          <cell r="D18">
            <v>5</v>
          </cell>
          <cell r="E18">
            <v>13.513513513513514</v>
          </cell>
          <cell r="F18">
            <v>0.33783783783783788</v>
          </cell>
          <cell r="G18">
            <v>22</v>
          </cell>
          <cell r="H18">
            <v>22</v>
          </cell>
          <cell r="I18">
            <v>100</v>
          </cell>
          <cell r="J18">
            <v>2.5</v>
          </cell>
          <cell r="K18">
            <v>2.8378378378378377</v>
          </cell>
          <cell r="L18">
            <v>56.756756756756758</v>
          </cell>
        </row>
        <row r="19">
          <cell r="B19" t="str">
            <v>Makavarapalem</v>
          </cell>
          <cell r="C19">
            <v>58</v>
          </cell>
          <cell r="D19">
            <v>55</v>
          </cell>
          <cell r="E19">
            <v>94.827586206896555</v>
          </cell>
          <cell r="F19">
            <v>2.3706896551724141</v>
          </cell>
          <cell r="G19">
            <v>20</v>
          </cell>
          <cell r="H19">
            <v>20</v>
          </cell>
          <cell r="I19">
            <v>100</v>
          </cell>
          <cell r="J19">
            <v>2.5</v>
          </cell>
          <cell r="K19">
            <v>4.8706896551724146</v>
          </cell>
          <cell r="L19">
            <v>97.413793103448285</v>
          </cell>
        </row>
        <row r="20">
          <cell r="B20" t="str">
            <v>Munagapaka</v>
          </cell>
          <cell r="C20">
            <v>76</v>
          </cell>
          <cell r="D20">
            <v>4</v>
          </cell>
          <cell r="E20">
            <v>5.2631578947368425</v>
          </cell>
          <cell r="F20">
            <v>0.13157894736842107</v>
          </cell>
          <cell r="G20">
            <v>47</v>
          </cell>
          <cell r="H20">
            <v>46</v>
          </cell>
          <cell r="I20">
            <v>97.872340425531917</v>
          </cell>
          <cell r="J20">
            <v>2.4468085106382982</v>
          </cell>
          <cell r="K20">
            <v>2.5783874580067194</v>
          </cell>
          <cell r="L20">
            <v>51.567749160134383</v>
          </cell>
        </row>
        <row r="21">
          <cell r="B21" t="str">
            <v>Nakkapalli</v>
          </cell>
          <cell r="C21">
            <v>100</v>
          </cell>
          <cell r="D21">
            <v>99</v>
          </cell>
          <cell r="E21">
            <v>99</v>
          </cell>
          <cell r="F21">
            <v>2.4750000000000001</v>
          </cell>
          <cell r="G21">
            <v>56</v>
          </cell>
          <cell r="H21">
            <v>55</v>
          </cell>
          <cell r="I21">
            <v>98.214285714285708</v>
          </cell>
          <cell r="J21">
            <v>2.4553571428571428</v>
          </cell>
          <cell r="K21">
            <v>4.9303571428571429</v>
          </cell>
          <cell r="L21">
            <v>98.607142857142861</v>
          </cell>
        </row>
        <row r="22">
          <cell r="B22" t="str">
            <v>Narsipatnam Rural</v>
          </cell>
          <cell r="C22">
            <v>17</v>
          </cell>
          <cell r="D22">
            <v>17</v>
          </cell>
          <cell r="E22">
            <v>100</v>
          </cell>
          <cell r="F22">
            <v>2.5</v>
          </cell>
          <cell r="G22">
            <v>10</v>
          </cell>
          <cell r="H22">
            <v>10</v>
          </cell>
          <cell r="I22">
            <v>100</v>
          </cell>
          <cell r="J22">
            <v>2.5</v>
          </cell>
          <cell r="K22">
            <v>5</v>
          </cell>
          <cell r="L22">
            <v>100</v>
          </cell>
        </row>
        <row r="23">
          <cell r="B23" t="str">
            <v>Narsipatnam Town</v>
          </cell>
          <cell r="C23">
            <v>77</v>
          </cell>
          <cell r="D23">
            <v>77</v>
          </cell>
          <cell r="E23">
            <v>100</v>
          </cell>
          <cell r="F23">
            <v>2.5</v>
          </cell>
          <cell r="G23">
            <v>38</v>
          </cell>
          <cell r="H23">
            <v>36</v>
          </cell>
          <cell r="I23">
            <v>94.736842105263165</v>
          </cell>
          <cell r="J23">
            <v>2.3684210526315792</v>
          </cell>
          <cell r="K23">
            <v>4.8684210526315788</v>
          </cell>
          <cell r="L23">
            <v>97.368421052631589</v>
          </cell>
        </row>
        <row r="24">
          <cell r="B24" t="str">
            <v>Nathavaram</v>
          </cell>
          <cell r="C24">
            <v>34</v>
          </cell>
          <cell r="D24">
            <v>34</v>
          </cell>
          <cell r="E24">
            <v>100</v>
          </cell>
          <cell r="F24">
            <v>2.5</v>
          </cell>
          <cell r="G24">
            <v>18</v>
          </cell>
          <cell r="H24">
            <v>18</v>
          </cell>
          <cell r="I24">
            <v>100</v>
          </cell>
          <cell r="J24">
            <v>2.5</v>
          </cell>
          <cell r="K24">
            <v>5</v>
          </cell>
          <cell r="L24">
            <v>100</v>
          </cell>
        </row>
        <row r="25">
          <cell r="B25" t="str">
            <v>Parawada</v>
          </cell>
          <cell r="C25">
            <v>173</v>
          </cell>
          <cell r="D25">
            <v>6</v>
          </cell>
          <cell r="E25">
            <v>3.4682080924855492</v>
          </cell>
          <cell r="F25">
            <v>8.6705202312138741E-2</v>
          </cell>
          <cell r="G25">
            <v>100</v>
          </cell>
          <cell r="H25">
            <v>91</v>
          </cell>
          <cell r="I25">
            <v>91</v>
          </cell>
          <cell r="J25">
            <v>2.2749999999999999</v>
          </cell>
          <cell r="K25">
            <v>2.3617052023121388</v>
          </cell>
          <cell r="L25">
            <v>47.234104046242777</v>
          </cell>
        </row>
        <row r="26">
          <cell r="B26" t="str">
            <v>Payakaraopeta</v>
          </cell>
          <cell r="C26">
            <v>124</v>
          </cell>
          <cell r="D26">
            <v>124</v>
          </cell>
          <cell r="E26">
            <v>100</v>
          </cell>
          <cell r="F26">
            <v>2.5</v>
          </cell>
          <cell r="G26">
            <v>78</v>
          </cell>
          <cell r="H26">
            <v>73</v>
          </cell>
          <cell r="I26">
            <v>93.589743589743591</v>
          </cell>
          <cell r="J26">
            <v>2.3397435897435899</v>
          </cell>
          <cell r="K26">
            <v>4.8397435897435894</v>
          </cell>
          <cell r="L26">
            <v>96.794871794871796</v>
          </cell>
        </row>
        <row r="27">
          <cell r="B27" t="str">
            <v>Rambilli</v>
          </cell>
          <cell r="C27">
            <v>57</v>
          </cell>
          <cell r="D27">
            <v>55</v>
          </cell>
          <cell r="E27">
            <v>96.491228070175438</v>
          </cell>
          <cell r="F27">
            <v>2.4122807017543861</v>
          </cell>
          <cell r="G27">
            <v>28</v>
          </cell>
          <cell r="H27">
            <v>28</v>
          </cell>
          <cell r="I27">
            <v>100</v>
          </cell>
          <cell r="J27">
            <v>2.5</v>
          </cell>
          <cell r="K27">
            <v>4.9122807017543861</v>
          </cell>
          <cell r="L27">
            <v>98.245614035087726</v>
          </cell>
        </row>
        <row r="28">
          <cell r="B28" t="str">
            <v>Ravikamatham</v>
          </cell>
          <cell r="C28">
            <v>15</v>
          </cell>
          <cell r="D28">
            <v>15</v>
          </cell>
          <cell r="E28">
            <v>100</v>
          </cell>
          <cell r="F28">
            <v>2.5</v>
          </cell>
          <cell r="G28">
            <v>9</v>
          </cell>
          <cell r="H28">
            <v>9</v>
          </cell>
          <cell r="I28">
            <v>100</v>
          </cell>
          <cell r="J28">
            <v>2.5</v>
          </cell>
          <cell r="K28">
            <v>5</v>
          </cell>
          <cell r="L28">
            <v>100</v>
          </cell>
        </row>
        <row r="29">
          <cell r="B29" t="str">
            <v>Rolugunta</v>
          </cell>
          <cell r="C29">
            <v>28</v>
          </cell>
          <cell r="D29">
            <v>28</v>
          </cell>
          <cell r="E29">
            <v>100</v>
          </cell>
          <cell r="F29">
            <v>2.5</v>
          </cell>
          <cell r="G29">
            <v>19</v>
          </cell>
          <cell r="H29">
            <v>19</v>
          </cell>
          <cell r="I29">
            <v>100</v>
          </cell>
          <cell r="J29">
            <v>2.5</v>
          </cell>
          <cell r="K29">
            <v>5</v>
          </cell>
          <cell r="L29">
            <v>100</v>
          </cell>
        </row>
        <row r="30">
          <cell r="B30" t="str">
            <v>S.Rayavaram</v>
          </cell>
          <cell r="C30">
            <v>69</v>
          </cell>
          <cell r="D30">
            <v>69</v>
          </cell>
          <cell r="E30">
            <v>100</v>
          </cell>
          <cell r="F30">
            <v>2.5</v>
          </cell>
          <cell r="G30">
            <v>40</v>
          </cell>
          <cell r="H30">
            <v>39</v>
          </cell>
          <cell r="I30">
            <v>97.5</v>
          </cell>
          <cell r="J30">
            <v>2.4375</v>
          </cell>
          <cell r="K30">
            <v>4.9375</v>
          </cell>
          <cell r="L30">
            <v>98.75</v>
          </cell>
        </row>
        <row r="31">
          <cell r="B31" t="str">
            <v>Sabbavaram</v>
          </cell>
          <cell r="C31">
            <v>83</v>
          </cell>
          <cell r="D31">
            <v>3</v>
          </cell>
          <cell r="E31">
            <v>3.6144578313253013</v>
          </cell>
          <cell r="F31">
            <v>9.0361445783132543E-2</v>
          </cell>
          <cell r="G31">
            <v>43</v>
          </cell>
          <cell r="H31">
            <v>42</v>
          </cell>
          <cell r="I31">
            <v>97.674418604651166</v>
          </cell>
          <cell r="J31">
            <v>2.4418604651162794</v>
          </cell>
          <cell r="K31">
            <v>2.5322219108994117</v>
          </cell>
          <cell r="L31">
            <v>50.644438217988231</v>
          </cell>
        </row>
        <row r="32">
          <cell r="B32" t="str">
            <v>V.Madugula</v>
          </cell>
          <cell r="C32">
            <v>36</v>
          </cell>
          <cell r="D32">
            <v>36</v>
          </cell>
          <cell r="E32">
            <v>100</v>
          </cell>
          <cell r="F32">
            <v>2.5</v>
          </cell>
          <cell r="G32">
            <v>19</v>
          </cell>
          <cell r="H32">
            <v>17</v>
          </cell>
          <cell r="I32">
            <v>89.473684210526315</v>
          </cell>
          <cell r="J32">
            <v>2.236842105263158</v>
          </cell>
          <cell r="K32">
            <v>4.7368421052631575</v>
          </cell>
          <cell r="L32">
            <v>94.73684210526315</v>
          </cell>
        </row>
        <row r="33">
          <cell r="B33" t="str">
            <v>Yelamanchili Rural</v>
          </cell>
          <cell r="C33">
            <v>65</v>
          </cell>
          <cell r="D33">
            <v>65</v>
          </cell>
          <cell r="E33">
            <v>100</v>
          </cell>
          <cell r="F33">
            <v>2.5</v>
          </cell>
          <cell r="G33">
            <v>41</v>
          </cell>
          <cell r="H33">
            <v>38</v>
          </cell>
          <cell r="I33">
            <v>92.682926829268297</v>
          </cell>
          <cell r="J33">
            <v>2.3170731707317076</v>
          </cell>
          <cell r="K33">
            <v>4.8170731707317076</v>
          </cell>
          <cell r="L33">
            <v>96.341463414634148</v>
          </cell>
        </row>
        <row r="34">
          <cell r="B34" t="str">
            <v>Yelamanchili Town</v>
          </cell>
          <cell r="C34">
            <v>26</v>
          </cell>
          <cell r="D34">
            <v>26</v>
          </cell>
          <cell r="E34">
            <v>100</v>
          </cell>
          <cell r="F34">
            <v>2.5</v>
          </cell>
          <cell r="G34">
            <v>15</v>
          </cell>
          <cell r="H34">
            <v>15</v>
          </cell>
          <cell r="I34">
            <v>100</v>
          </cell>
          <cell r="J34">
            <v>2.5</v>
          </cell>
          <cell r="K34">
            <v>5</v>
          </cell>
          <cell r="L34">
            <v>100</v>
          </cell>
        </row>
        <row r="35">
          <cell r="B35" t="str">
            <v>Yelamanchili Traffic</v>
          </cell>
          <cell r="C35">
            <v>20</v>
          </cell>
          <cell r="D35">
            <v>20</v>
          </cell>
          <cell r="E35">
            <v>100</v>
          </cell>
          <cell r="F35">
            <v>2.5</v>
          </cell>
          <cell r="G35">
            <v>20</v>
          </cell>
          <cell r="H35">
            <v>0</v>
          </cell>
          <cell r="I35">
            <v>0</v>
          </cell>
          <cell r="J35">
            <v>0</v>
          </cell>
          <cell r="K35">
            <v>2.5</v>
          </cell>
          <cell r="L35">
            <v>50</v>
          </cell>
        </row>
        <row r="36">
          <cell r="C36">
            <v>1899</v>
          </cell>
          <cell r="D36">
            <v>1182</v>
          </cell>
          <cell r="E36">
            <v>62.243285939968402</v>
          </cell>
          <cell r="F36">
            <v>5.2659294365455498</v>
          </cell>
          <cell r="G36">
            <v>1090</v>
          </cell>
          <cell r="H36">
            <v>1027</v>
          </cell>
          <cell r="I36">
            <v>94.220183486238525</v>
          </cell>
          <cell r="J36">
            <v>2.3490649686949681</v>
          </cell>
          <cell r="K36">
            <v>7.6149944052405178</v>
          </cell>
          <cell r="L36">
            <v>78.231734713103464</v>
          </cell>
        </row>
      </sheetData>
      <sheetData sheetId="13">
        <row r="2">
          <cell r="C2" t="str">
            <v>FROM 16-09-2026 TO 23-09-2026 - (5 % Marks)</v>
          </cell>
        </row>
        <row r="3">
          <cell r="B3" t="str">
            <v>PS NAME</v>
          </cell>
          <cell r="C3" t="str">
            <v>Total Disposed Files</v>
          </cell>
          <cell r="D3" t="str">
            <v xml:space="preserve">
Total Disposed files Raw Value</v>
          </cell>
          <cell r="E3" t="str">
            <v xml:space="preserve">Total Disposed Files Marks
(2.5) </v>
          </cell>
          <cell r="F3" t="str">
            <v>Average Response time (Days HH:MM:SS)</v>
          </cell>
          <cell r="G3" t="str">
            <v>Hours Convertion
to 
(HH:MM:SS)</v>
          </cell>
          <cell r="H3" t="str">
            <v xml:space="preserve">
Average Response time
Raw Value</v>
          </cell>
          <cell r="I3" t="str">
            <v>Average Response time Marks</v>
          </cell>
          <cell r="J3" t="str">
            <v>Total 
E Office 
Raw Value</v>
          </cell>
          <cell r="K3" t="str">
            <v>Total Marks</v>
          </cell>
        </row>
        <row r="4">
          <cell r="B4" t="str">
            <v>A.Koduru</v>
          </cell>
          <cell r="D4">
            <v>0</v>
          </cell>
          <cell r="E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B5" t="str">
            <v>Anakapalli Rural</v>
          </cell>
          <cell r="D5">
            <v>0</v>
          </cell>
          <cell r="E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6">
          <cell r="B6" t="str">
            <v>Anakapalli Town</v>
          </cell>
          <cell r="D6">
            <v>0</v>
          </cell>
          <cell r="E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</row>
        <row r="7">
          <cell r="B7" t="str">
            <v>Anakapalli Traffic</v>
          </cell>
          <cell r="D7">
            <v>0</v>
          </cell>
          <cell r="E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8">
          <cell r="B8" t="str">
            <v>Atchutapuram</v>
          </cell>
          <cell r="D8">
            <v>0</v>
          </cell>
          <cell r="E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B9" t="str">
            <v>Butchiyyapeta</v>
          </cell>
          <cell r="D9">
            <v>0</v>
          </cell>
          <cell r="E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</row>
        <row r="10">
          <cell r="B10" t="str">
            <v>Cheedikada</v>
          </cell>
          <cell r="D10">
            <v>0</v>
          </cell>
          <cell r="E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</row>
        <row r="11">
          <cell r="B11" t="str">
            <v>Chodavaram</v>
          </cell>
          <cell r="D11">
            <v>0</v>
          </cell>
          <cell r="E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</row>
        <row r="12">
          <cell r="B12" t="str">
            <v>Devarapalli</v>
          </cell>
          <cell r="D12">
            <v>0</v>
          </cell>
          <cell r="E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</row>
        <row r="13">
          <cell r="B13" t="str">
            <v>Golugonda</v>
          </cell>
          <cell r="D13">
            <v>0</v>
          </cell>
          <cell r="E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B14" t="str">
            <v>K.D.Peta</v>
          </cell>
          <cell r="D14">
            <v>0</v>
          </cell>
          <cell r="E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B15" t="str">
            <v>K.Kotapadu</v>
          </cell>
          <cell r="D15">
            <v>0</v>
          </cell>
          <cell r="E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</row>
        <row r="16">
          <cell r="B16" t="str">
            <v>Kasimkota</v>
          </cell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</row>
        <row r="17">
          <cell r="B17" t="str">
            <v>Kotavurtla</v>
          </cell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Kothakota</v>
          </cell>
          <cell r="D18">
            <v>0</v>
          </cell>
          <cell r="E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B19" t="str">
            <v>Mahila UPS, Anakapalli</v>
          </cell>
          <cell r="D19">
            <v>0</v>
          </cell>
          <cell r="E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B20" t="str">
            <v>Makavarapalem</v>
          </cell>
          <cell r="D20">
            <v>0</v>
          </cell>
          <cell r="E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</row>
        <row r="21">
          <cell r="B21" t="str">
            <v>Munagapaka</v>
          </cell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B22" t="str">
            <v>Nakkapalli</v>
          </cell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B23" t="str">
            <v>Narsipatnam Rural</v>
          </cell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</row>
        <row r="24">
          <cell r="B24" t="str">
            <v>Narsipatnam Town</v>
          </cell>
          <cell r="D24">
            <v>0</v>
          </cell>
          <cell r="E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</row>
        <row r="25">
          <cell r="B25" t="str">
            <v>Nathavaram</v>
          </cell>
          <cell r="D25">
            <v>0</v>
          </cell>
          <cell r="E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26">
          <cell r="B26" t="str">
            <v>Parawada</v>
          </cell>
          <cell r="D26">
            <v>0</v>
          </cell>
          <cell r="E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</row>
        <row r="27">
          <cell r="B27" t="str">
            <v>Payakaraopeta</v>
          </cell>
          <cell r="D27">
            <v>0</v>
          </cell>
          <cell r="E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B28" t="str">
            <v>Rambilli</v>
          </cell>
          <cell r="D28">
            <v>0</v>
          </cell>
          <cell r="E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B29" t="str">
            <v>Ravikamatham</v>
          </cell>
          <cell r="D29">
            <v>0</v>
          </cell>
          <cell r="E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</row>
        <row r="30">
          <cell r="B30" t="str">
            <v>Rolugunta</v>
          </cell>
          <cell r="D30">
            <v>0</v>
          </cell>
          <cell r="E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</row>
        <row r="31">
          <cell r="B31" t="str">
            <v>S.Rayavaram</v>
          </cell>
          <cell r="D31">
            <v>0</v>
          </cell>
          <cell r="E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2">
          <cell r="B32" t="str">
            <v>Sabbavaram</v>
          </cell>
          <cell r="D32">
            <v>0</v>
          </cell>
          <cell r="E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</row>
        <row r="33">
          <cell r="B33" t="str">
            <v>V.Madugula</v>
          </cell>
          <cell r="D33">
            <v>0</v>
          </cell>
          <cell r="E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</row>
        <row r="34">
          <cell r="B34" t="str">
            <v>Yelamanchili Rural</v>
          </cell>
          <cell r="D34">
            <v>0</v>
          </cell>
          <cell r="E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</row>
        <row r="35">
          <cell r="B35" t="str">
            <v>Yelamanchili Town</v>
          </cell>
          <cell r="D35">
            <v>0</v>
          </cell>
          <cell r="E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</row>
        <row r="36">
          <cell r="B36" t="str">
            <v>Yelamanchili Traffic</v>
          </cell>
          <cell r="D36">
            <v>0</v>
          </cell>
          <cell r="E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</row>
      </sheetData>
      <sheetData sheetId="14">
        <row r="2">
          <cell r="B2" t="str">
            <v>Unit</v>
          </cell>
          <cell r="C2" t="str">
            <v>Total Employees</v>
          </cell>
          <cell r="D2" t="str">
            <v>No.of Mobile App Downloads</v>
          </cell>
          <cell r="E2" t="str">
            <v>APP Download
Raw Value</v>
          </cell>
          <cell r="F2" t="str">
            <v>Marks
for App (2.5)</v>
          </cell>
          <cell r="G2" t="str">
            <v>Total APRs Submitted</v>
          </cell>
          <cell r="H2" t="str">
            <v>APR Raw Value</v>
          </cell>
          <cell r="I2" t="str">
            <v>Marks for APR 
(2.5)</v>
          </cell>
          <cell r="J2" t="str">
            <v>Total Marks
(5)</v>
          </cell>
          <cell r="K2" t="str">
            <v>Final Raw Value</v>
          </cell>
        </row>
        <row r="3">
          <cell r="B3" t="str">
            <v>A.Koduru</v>
          </cell>
          <cell r="C3">
            <v>11</v>
          </cell>
          <cell r="D3">
            <v>11</v>
          </cell>
          <cell r="E3">
            <v>100</v>
          </cell>
          <cell r="F3">
            <v>5</v>
          </cell>
          <cell r="G3">
            <v>9</v>
          </cell>
          <cell r="H3">
            <v>81.818181818181813</v>
          </cell>
          <cell r="I3">
            <v>4.0909090909090908</v>
          </cell>
          <cell r="J3">
            <v>9.0909090909090899</v>
          </cell>
          <cell r="K3">
            <v>90.909090909090907</v>
          </cell>
        </row>
        <row r="4">
          <cell r="B4" t="str">
            <v>Anakapalli Rural</v>
          </cell>
          <cell r="C4">
            <v>17</v>
          </cell>
          <cell r="D4">
            <v>17</v>
          </cell>
          <cell r="E4">
            <v>100</v>
          </cell>
          <cell r="F4">
            <v>5</v>
          </cell>
          <cell r="G4">
            <v>14</v>
          </cell>
          <cell r="H4">
            <v>82.352941176470594</v>
          </cell>
          <cell r="I4">
            <v>4.1176470588235299</v>
          </cell>
          <cell r="J4">
            <v>9.117647058823529</v>
          </cell>
          <cell r="K4">
            <v>91.176470588235304</v>
          </cell>
        </row>
        <row r="5">
          <cell r="B5" t="str">
            <v>Anakapalli Town</v>
          </cell>
          <cell r="C5">
            <v>60</v>
          </cell>
          <cell r="D5">
            <v>59</v>
          </cell>
          <cell r="E5">
            <v>98.333333333333329</v>
          </cell>
          <cell r="F5">
            <v>4.916666666666667</v>
          </cell>
          <cell r="G5">
            <v>51</v>
          </cell>
          <cell r="H5">
            <v>85</v>
          </cell>
          <cell r="I5">
            <v>4.25</v>
          </cell>
          <cell r="J5">
            <v>9.1666666666666679</v>
          </cell>
          <cell r="K5">
            <v>91.666666666666657</v>
          </cell>
        </row>
        <row r="6">
          <cell r="B6" t="str">
            <v>Anakapalli Traffic</v>
          </cell>
          <cell r="C6">
            <v>12</v>
          </cell>
          <cell r="D6">
            <v>12</v>
          </cell>
          <cell r="E6">
            <v>100</v>
          </cell>
          <cell r="F6">
            <v>5</v>
          </cell>
          <cell r="G6">
            <v>10</v>
          </cell>
          <cell r="H6">
            <v>83.333333333333329</v>
          </cell>
          <cell r="I6">
            <v>4.166666666666667</v>
          </cell>
          <cell r="J6">
            <v>9.1666666666666679</v>
          </cell>
          <cell r="K6">
            <v>91.666666666666657</v>
          </cell>
        </row>
        <row r="7">
          <cell r="B7" t="str">
            <v>Atchutapuram</v>
          </cell>
          <cell r="C7">
            <v>17</v>
          </cell>
          <cell r="D7">
            <v>17</v>
          </cell>
          <cell r="E7">
            <v>100</v>
          </cell>
          <cell r="F7">
            <v>5</v>
          </cell>
          <cell r="G7">
            <v>14</v>
          </cell>
          <cell r="H7">
            <v>82.352941176470594</v>
          </cell>
          <cell r="I7">
            <v>4.1176470588235299</v>
          </cell>
          <cell r="J7">
            <v>9.117647058823529</v>
          </cell>
          <cell r="K7">
            <v>91.176470588235304</v>
          </cell>
        </row>
        <row r="8">
          <cell r="B8" t="str">
            <v>Butchiyyapeta</v>
          </cell>
          <cell r="C8">
            <v>10</v>
          </cell>
          <cell r="D8">
            <v>10</v>
          </cell>
          <cell r="E8">
            <v>100</v>
          </cell>
          <cell r="F8">
            <v>5</v>
          </cell>
          <cell r="G8">
            <v>8</v>
          </cell>
          <cell r="H8">
            <v>80</v>
          </cell>
          <cell r="I8">
            <v>4</v>
          </cell>
          <cell r="J8">
            <v>9</v>
          </cell>
          <cell r="K8">
            <v>90</v>
          </cell>
        </row>
        <row r="9">
          <cell r="B9" t="str">
            <v>Cheedikada</v>
          </cell>
          <cell r="C9">
            <v>9</v>
          </cell>
          <cell r="D9">
            <v>9</v>
          </cell>
          <cell r="E9">
            <v>100</v>
          </cell>
          <cell r="F9">
            <v>5</v>
          </cell>
          <cell r="G9">
            <v>7</v>
          </cell>
          <cell r="H9">
            <v>77.777777777777771</v>
          </cell>
          <cell r="I9">
            <v>3.8888888888888888</v>
          </cell>
          <cell r="J9">
            <v>8.8888888888888893</v>
          </cell>
          <cell r="K9">
            <v>88.888888888888886</v>
          </cell>
        </row>
        <row r="10">
          <cell r="B10" t="str">
            <v>Chodavaram</v>
          </cell>
          <cell r="C10">
            <v>20</v>
          </cell>
          <cell r="D10">
            <v>20</v>
          </cell>
          <cell r="E10">
            <v>100</v>
          </cell>
          <cell r="F10">
            <v>5</v>
          </cell>
          <cell r="G10">
            <v>16</v>
          </cell>
          <cell r="H10">
            <v>80</v>
          </cell>
          <cell r="I10">
            <v>4</v>
          </cell>
          <cell r="J10">
            <v>9</v>
          </cell>
          <cell r="K10">
            <v>90</v>
          </cell>
        </row>
        <row r="11">
          <cell r="B11" t="str">
            <v>Devarapalli</v>
          </cell>
          <cell r="C11">
            <v>10</v>
          </cell>
          <cell r="D11">
            <v>10</v>
          </cell>
          <cell r="E11">
            <v>100</v>
          </cell>
          <cell r="F11">
            <v>5</v>
          </cell>
          <cell r="G11">
            <v>8</v>
          </cell>
          <cell r="H11">
            <v>80</v>
          </cell>
          <cell r="I11">
            <v>4</v>
          </cell>
          <cell r="J11">
            <v>9</v>
          </cell>
          <cell r="K11">
            <v>90</v>
          </cell>
        </row>
        <row r="12">
          <cell r="B12" t="str">
            <v>Golugonda</v>
          </cell>
          <cell r="C12">
            <v>10</v>
          </cell>
          <cell r="D12">
            <v>10</v>
          </cell>
          <cell r="E12">
            <v>100</v>
          </cell>
          <cell r="F12">
            <v>5</v>
          </cell>
          <cell r="G12">
            <v>8</v>
          </cell>
          <cell r="H12">
            <v>80</v>
          </cell>
          <cell r="I12">
            <v>4</v>
          </cell>
          <cell r="J12">
            <v>9</v>
          </cell>
          <cell r="K12">
            <v>90</v>
          </cell>
        </row>
        <row r="13">
          <cell r="B13" t="str">
            <v>K.D.Peta</v>
          </cell>
          <cell r="C13">
            <v>8</v>
          </cell>
          <cell r="D13">
            <v>8</v>
          </cell>
          <cell r="E13">
            <v>100</v>
          </cell>
          <cell r="F13">
            <v>5</v>
          </cell>
          <cell r="G13">
            <v>6</v>
          </cell>
          <cell r="H13">
            <v>75</v>
          </cell>
          <cell r="I13">
            <v>3.75</v>
          </cell>
          <cell r="J13">
            <v>8.75</v>
          </cell>
          <cell r="K13">
            <v>87.5</v>
          </cell>
        </row>
        <row r="14">
          <cell r="B14" t="str">
            <v>K.Kotapadu</v>
          </cell>
          <cell r="C14">
            <v>10</v>
          </cell>
          <cell r="D14">
            <v>10</v>
          </cell>
          <cell r="E14">
            <v>100</v>
          </cell>
          <cell r="F14">
            <v>5</v>
          </cell>
          <cell r="G14">
            <v>8</v>
          </cell>
          <cell r="H14">
            <v>80</v>
          </cell>
          <cell r="I14">
            <v>4</v>
          </cell>
          <cell r="J14">
            <v>9</v>
          </cell>
          <cell r="K14">
            <v>90</v>
          </cell>
        </row>
        <row r="15">
          <cell r="B15" t="str">
            <v>Kasimkota</v>
          </cell>
          <cell r="C15">
            <v>20</v>
          </cell>
          <cell r="D15">
            <v>20</v>
          </cell>
          <cell r="E15">
            <v>100</v>
          </cell>
          <cell r="F15">
            <v>5</v>
          </cell>
          <cell r="G15">
            <v>16</v>
          </cell>
          <cell r="H15">
            <v>80</v>
          </cell>
          <cell r="I15">
            <v>4</v>
          </cell>
          <cell r="J15">
            <v>9</v>
          </cell>
          <cell r="K15">
            <v>90</v>
          </cell>
        </row>
        <row r="16">
          <cell r="B16" t="str">
            <v>Kotavurtla</v>
          </cell>
          <cell r="C16">
            <v>10</v>
          </cell>
          <cell r="D16">
            <v>10</v>
          </cell>
          <cell r="E16">
            <v>100</v>
          </cell>
          <cell r="F16">
            <v>5</v>
          </cell>
          <cell r="G16">
            <v>8</v>
          </cell>
          <cell r="H16">
            <v>80</v>
          </cell>
          <cell r="I16">
            <v>4</v>
          </cell>
          <cell r="J16">
            <v>9</v>
          </cell>
          <cell r="K16">
            <v>90</v>
          </cell>
        </row>
        <row r="17">
          <cell r="B17" t="str">
            <v>Kothakota</v>
          </cell>
          <cell r="C17">
            <v>8</v>
          </cell>
          <cell r="D17">
            <v>8</v>
          </cell>
          <cell r="E17">
            <v>100</v>
          </cell>
          <cell r="F17">
            <v>5</v>
          </cell>
          <cell r="G17">
            <v>6</v>
          </cell>
          <cell r="H17">
            <v>75</v>
          </cell>
          <cell r="I17">
            <v>3.75</v>
          </cell>
          <cell r="J17">
            <v>8.75</v>
          </cell>
          <cell r="K17">
            <v>87.5</v>
          </cell>
        </row>
        <row r="18">
          <cell r="B18" t="str">
            <v>Mahila UPS, Anakapalli</v>
          </cell>
          <cell r="C18">
            <v>12</v>
          </cell>
          <cell r="D18">
            <v>11</v>
          </cell>
          <cell r="E18">
            <v>91.666666666666671</v>
          </cell>
          <cell r="F18">
            <v>4.5833333333333339</v>
          </cell>
          <cell r="G18">
            <v>11</v>
          </cell>
          <cell r="H18">
            <v>91.666666666666671</v>
          </cell>
          <cell r="I18">
            <v>4.5833333333333339</v>
          </cell>
          <cell r="J18">
            <v>9.1666666666666679</v>
          </cell>
          <cell r="K18">
            <v>91.666666666666671</v>
          </cell>
        </row>
        <row r="19">
          <cell r="B19" t="str">
            <v>Makavarapalem</v>
          </cell>
          <cell r="C19">
            <v>12</v>
          </cell>
          <cell r="D19">
            <v>12</v>
          </cell>
          <cell r="E19">
            <v>100</v>
          </cell>
          <cell r="F19">
            <v>5</v>
          </cell>
          <cell r="G19">
            <v>10</v>
          </cell>
          <cell r="H19">
            <v>83.333333333333329</v>
          </cell>
          <cell r="I19">
            <v>4.166666666666667</v>
          </cell>
          <cell r="J19">
            <v>9.1666666666666679</v>
          </cell>
          <cell r="K19">
            <v>91.666666666666657</v>
          </cell>
        </row>
        <row r="20">
          <cell r="B20" t="str">
            <v>Munagapaka</v>
          </cell>
          <cell r="C20">
            <v>12</v>
          </cell>
          <cell r="D20">
            <v>12</v>
          </cell>
          <cell r="E20">
            <v>100</v>
          </cell>
          <cell r="F20">
            <v>5</v>
          </cell>
          <cell r="G20">
            <v>10</v>
          </cell>
          <cell r="H20">
            <v>83.333333333333329</v>
          </cell>
          <cell r="I20">
            <v>4.166666666666667</v>
          </cell>
          <cell r="J20">
            <v>9.1666666666666679</v>
          </cell>
          <cell r="K20">
            <v>91.666666666666657</v>
          </cell>
        </row>
        <row r="21">
          <cell r="B21" t="str">
            <v>Nakkapalli</v>
          </cell>
          <cell r="C21">
            <v>20</v>
          </cell>
          <cell r="D21">
            <v>20</v>
          </cell>
          <cell r="E21">
            <v>100</v>
          </cell>
          <cell r="F21">
            <v>5</v>
          </cell>
          <cell r="G21">
            <v>16</v>
          </cell>
          <cell r="H21">
            <v>80</v>
          </cell>
          <cell r="I21">
            <v>4</v>
          </cell>
          <cell r="J21">
            <v>9</v>
          </cell>
          <cell r="K21">
            <v>90</v>
          </cell>
        </row>
        <row r="22">
          <cell r="B22" t="str">
            <v>Narsipatnam Rural</v>
          </cell>
          <cell r="C22">
            <v>12</v>
          </cell>
          <cell r="D22">
            <v>12</v>
          </cell>
          <cell r="E22">
            <v>100</v>
          </cell>
          <cell r="F22">
            <v>5</v>
          </cell>
          <cell r="G22">
            <v>10</v>
          </cell>
          <cell r="H22">
            <v>83.333333333333329</v>
          </cell>
          <cell r="I22">
            <v>4.166666666666667</v>
          </cell>
          <cell r="J22">
            <v>9.1666666666666679</v>
          </cell>
          <cell r="K22">
            <v>91.666666666666657</v>
          </cell>
        </row>
        <row r="23">
          <cell r="B23" t="str">
            <v>Narsipatnam Town</v>
          </cell>
          <cell r="C23">
            <v>27</v>
          </cell>
          <cell r="D23">
            <v>27</v>
          </cell>
          <cell r="E23">
            <v>100</v>
          </cell>
          <cell r="F23">
            <v>5</v>
          </cell>
          <cell r="G23">
            <v>23</v>
          </cell>
          <cell r="H23">
            <v>85.18518518518519</v>
          </cell>
          <cell r="I23">
            <v>4.2592592592592595</v>
          </cell>
          <cell r="J23">
            <v>9.2592592592592595</v>
          </cell>
          <cell r="K23">
            <v>92.592592592592595</v>
          </cell>
        </row>
        <row r="24">
          <cell r="B24" t="str">
            <v>Nathavaram</v>
          </cell>
          <cell r="C24">
            <v>12</v>
          </cell>
          <cell r="D24">
            <v>12</v>
          </cell>
          <cell r="E24">
            <v>100</v>
          </cell>
          <cell r="F24">
            <v>5</v>
          </cell>
          <cell r="G24">
            <v>10</v>
          </cell>
          <cell r="H24">
            <v>83.333333333333329</v>
          </cell>
          <cell r="I24">
            <v>4.166666666666667</v>
          </cell>
          <cell r="J24">
            <v>9.1666666666666679</v>
          </cell>
          <cell r="K24">
            <v>91.666666666666657</v>
          </cell>
        </row>
        <row r="25">
          <cell r="B25" t="str">
            <v>Parawada</v>
          </cell>
          <cell r="C25">
            <v>37</v>
          </cell>
          <cell r="D25">
            <v>36</v>
          </cell>
          <cell r="E25">
            <v>97.297297297297291</v>
          </cell>
          <cell r="F25">
            <v>4.8648648648648649</v>
          </cell>
          <cell r="G25">
            <v>33</v>
          </cell>
          <cell r="H25">
            <v>89.189189189189193</v>
          </cell>
          <cell r="I25">
            <v>4.4594594594594597</v>
          </cell>
          <cell r="J25">
            <v>9.3243243243243246</v>
          </cell>
          <cell r="K25">
            <v>93.243243243243242</v>
          </cell>
        </row>
        <row r="26">
          <cell r="B26" t="str">
            <v>Payakaraopeta</v>
          </cell>
          <cell r="C26">
            <v>17</v>
          </cell>
          <cell r="D26">
            <v>17</v>
          </cell>
          <cell r="E26">
            <v>100</v>
          </cell>
          <cell r="F26">
            <v>5</v>
          </cell>
          <cell r="G26">
            <v>14</v>
          </cell>
          <cell r="H26">
            <v>82.352941176470594</v>
          </cell>
          <cell r="I26">
            <v>4.1176470588235299</v>
          </cell>
          <cell r="J26">
            <v>9.117647058823529</v>
          </cell>
          <cell r="K26">
            <v>91.176470588235304</v>
          </cell>
        </row>
        <row r="27">
          <cell r="B27" t="str">
            <v>Rambilli</v>
          </cell>
          <cell r="C27">
            <v>14</v>
          </cell>
          <cell r="D27">
            <v>14</v>
          </cell>
          <cell r="E27">
            <v>100</v>
          </cell>
          <cell r="F27">
            <v>5</v>
          </cell>
          <cell r="G27">
            <v>12</v>
          </cell>
          <cell r="H27">
            <v>85.714285714285708</v>
          </cell>
          <cell r="I27">
            <v>4.2857142857142856</v>
          </cell>
          <cell r="J27">
            <v>9.2857142857142847</v>
          </cell>
          <cell r="K27">
            <v>92.857142857142861</v>
          </cell>
        </row>
        <row r="28">
          <cell r="B28" t="str">
            <v>Ravikamatham</v>
          </cell>
          <cell r="C28">
            <v>12</v>
          </cell>
          <cell r="D28">
            <v>12</v>
          </cell>
          <cell r="E28">
            <v>100</v>
          </cell>
          <cell r="F28">
            <v>5</v>
          </cell>
          <cell r="G28">
            <v>10</v>
          </cell>
          <cell r="H28">
            <v>83.333333333333329</v>
          </cell>
          <cell r="I28">
            <v>4.166666666666667</v>
          </cell>
          <cell r="J28">
            <v>9.1666666666666679</v>
          </cell>
          <cell r="K28">
            <v>91.666666666666657</v>
          </cell>
        </row>
        <row r="29">
          <cell r="B29" t="str">
            <v>Rolugunta</v>
          </cell>
          <cell r="C29">
            <v>12</v>
          </cell>
          <cell r="D29">
            <v>12</v>
          </cell>
          <cell r="E29">
            <v>100</v>
          </cell>
          <cell r="F29">
            <v>5</v>
          </cell>
          <cell r="G29">
            <v>10</v>
          </cell>
          <cell r="H29">
            <v>83.333333333333329</v>
          </cell>
          <cell r="I29">
            <v>4.166666666666667</v>
          </cell>
          <cell r="J29">
            <v>9.1666666666666679</v>
          </cell>
          <cell r="K29">
            <v>91.666666666666657</v>
          </cell>
        </row>
        <row r="30">
          <cell r="B30" t="str">
            <v>S.Rayavaram</v>
          </cell>
          <cell r="C30">
            <v>12</v>
          </cell>
          <cell r="D30">
            <v>12</v>
          </cell>
          <cell r="E30">
            <v>100</v>
          </cell>
          <cell r="F30">
            <v>5</v>
          </cell>
          <cell r="G30">
            <v>10</v>
          </cell>
          <cell r="H30">
            <v>83.333333333333329</v>
          </cell>
          <cell r="I30">
            <v>4.166666666666667</v>
          </cell>
          <cell r="J30">
            <v>9.1666666666666679</v>
          </cell>
          <cell r="K30">
            <v>91.666666666666657</v>
          </cell>
        </row>
        <row r="31">
          <cell r="B31" t="str">
            <v>Sabbavaram</v>
          </cell>
          <cell r="C31">
            <v>28</v>
          </cell>
          <cell r="D31">
            <v>27</v>
          </cell>
          <cell r="E31">
            <v>96.428571428571431</v>
          </cell>
          <cell r="F31">
            <v>4.8214285714285721</v>
          </cell>
          <cell r="G31">
            <v>24</v>
          </cell>
          <cell r="H31">
            <v>85.714285714285708</v>
          </cell>
          <cell r="I31">
            <v>4.2857142857142856</v>
          </cell>
          <cell r="J31">
            <v>9.1071428571428577</v>
          </cell>
          <cell r="K31">
            <v>91.071428571428569</v>
          </cell>
        </row>
        <row r="32">
          <cell r="B32" t="str">
            <v>V.Madugula</v>
          </cell>
          <cell r="C32">
            <v>14</v>
          </cell>
          <cell r="D32">
            <v>14</v>
          </cell>
          <cell r="E32">
            <v>100</v>
          </cell>
          <cell r="F32">
            <v>5</v>
          </cell>
          <cell r="G32">
            <v>12</v>
          </cell>
          <cell r="H32">
            <v>85.714285714285708</v>
          </cell>
          <cell r="I32">
            <v>4.2857142857142856</v>
          </cell>
          <cell r="J32">
            <v>9.2857142857142847</v>
          </cell>
          <cell r="K32">
            <v>92.857142857142861</v>
          </cell>
        </row>
        <row r="33">
          <cell r="B33" t="str">
            <v>Yelamanchili Rural</v>
          </cell>
          <cell r="C33">
            <v>10</v>
          </cell>
          <cell r="D33">
            <v>10</v>
          </cell>
          <cell r="E33">
            <v>100</v>
          </cell>
          <cell r="F33">
            <v>5</v>
          </cell>
          <cell r="G33">
            <v>8</v>
          </cell>
          <cell r="H33">
            <v>80</v>
          </cell>
          <cell r="I33">
            <v>4</v>
          </cell>
          <cell r="J33">
            <v>9</v>
          </cell>
          <cell r="K33">
            <v>90</v>
          </cell>
        </row>
        <row r="34">
          <cell r="B34" t="str">
            <v>Yelamanchili Town</v>
          </cell>
          <cell r="C34">
            <v>10</v>
          </cell>
          <cell r="D34">
            <v>10</v>
          </cell>
          <cell r="E34">
            <v>100</v>
          </cell>
          <cell r="F34">
            <v>5</v>
          </cell>
          <cell r="G34">
            <v>8</v>
          </cell>
          <cell r="H34">
            <v>80</v>
          </cell>
          <cell r="I34">
            <v>4</v>
          </cell>
          <cell r="J34">
            <v>9</v>
          </cell>
          <cell r="K34">
            <v>90</v>
          </cell>
        </row>
        <row r="35">
          <cell r="B35" t="str">
            <v>Yelamanchili Traffic</v>
          </cell>
          <cell r="C35">
            <v>8</v>
          </cell>
          <cell r="D35">
            <v>8</v>
          </cell>
          <cell r="E35">
            <v>100</v>
          </cell>
          <cell r="F35">
            <v>5</v>
          </cell>
          <cell r="G35">
            <v>6</v>
          </cell>
          <cell r="H35">
            <v>75</v>
          </cell>
          <cell r="I35">
            <v>3.75</v>
          </cell>
          <cell r="J35">
            <v>8.75</v>
          </cell>
          <cell r="K35">
            <v>87.5</v>
          </cell>
        </row>
        <row r="36">
          <cell r="C36">
            <v>513</v>
          </cell>
          <cell r="D36">
            <v>509</v>
          </cell>
          <cell r="E36">
            <v>99.506844506844516</v>
          </cell>
          <cell r="F36">
            <v>4.9753422253422261</v>
          </cell>
          <cell r="G36">
            <v>426</v>
          </cell>
          <cell r="H36">
            <v>82.015313575028372</v>
          </cell>
          <cell r="I36">
            <v>135.32526739879688</v>
          </cell>
          <cell r="J36">
            <v>299.51156083509017</v>
          </cell>
          <cell r="K36">
            <v>2995.1156083509018</v>
          </cell>
        </row>
      </sheetData>
      <sheetData sheetId="15">
        <row r="2">
          <cell r="B2" t="str">
            <v>PS</v>
          </cell>
          <cell r="C2" t="str">
            <v>FILES RECEIVED</v>
          </cell>
          <cell r="D2" t="str">
            <v>DISPOSAL</v>
          </cell>
          <cell r="E2" t="str">
            <v>TIME</v>
          </cell>
          <cell r="F2" t="str">
            <v>Raw Value</v>
          </cell>
          <cell r="G2" t="str">
            <v>Marks</v>
          </cell>
          <cell r="H2" t="str">
            <v>Reamrks</v>
          </cell>
        </row>
        <row r="3">
          <cell r="B3" t="str">
            <v>A.Koduru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 t="str">
            <v>Gambling -1</v>
          </cell>
        </row>
        <row r="4">
          <cell r="B4" t="str">
            <v>Anakapalli Rural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 t="str">
            <v>Opend Drinking 2</v>
          </cell>
        </row>
        <row r="5">
          <cell r="B5" t="str">
            <v>Anakapalli Town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 t="str">
            <v>open driking 4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 t="str">
            <v>open drinking 2</v>
          </cell>
        </row>
        <row r="7">
          <cell r="B7" t="str">
            <v>Atchutapuram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 t="str">
            <v>Open drinking 4</v>
          </cell>
        </row>
        <row r="8">
          <cell r="B8" t="str">
            <v>Butchiyyapeta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 t="str">
            <v>Missing Case Traced</v>
          </cell>
        </row>
        <row r="9">
          <cell r="B9" t="str">
            <v>Cheedikada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 t="str">
            <v>Gambling -1</v>
          </cell>
        </row>
        <row r="10">
          <cell r="B10" t="str">
            <v>Chodavaram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 t="str">
            <v>open drinking 1</v>
          </cell>
        </row>
        <row r="11">
          <cell r="B11" t="str">
            <v>Devarapalli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</sheetData>
      <sheetData sheetId="16">
        <row r="2">
          <cell r="B2" t="str">
            <v>PS</v>
          </cell>
          <cell r="C2">
            <v>46281</v>
          </cell>
          <cell r="E2">
            <v>46281</v>
          </cell>
          <cell r="G2">
            <v>2</v>
          </cell>
          <cell r="I2">
            <v>3</v>
          </cell>
          <cell r="K2">
            <v>4</v>
          </cell>
          <cell r="M2">
            <v>5</v>
          </cell>
          <cell r="O2">
            <v>6</v>
          </cell>
          <cell r="Q2" t="str">
            <v>MARKS</v>
          </cell>
          <cell r="R2" t="str">
            <v>RAW VALUE</v>
          </cell>
        </row>
        <row r="3">
          <cell r="C3" t="str">
            <v>WEB</v>
          </cell>
          <cell r="D3" t="str">
            <v>MOBILE</v>
          </cell>
          <cell r="E3" t="str">
            <v>WEB</v>
          </cell>
          <cell r="F3" t="str">
            <v>MOBILE</v>
          </cell>
          <cell r="G3" t="str">
            <v>WEB</v>
          </cell>
          <cell r="H3" t="str">
            <v>MOBILE</v>
          </cell>
          <cell r="I3" t="str">
            <v>WEB</v>
          </cell>
          <cell r="J3" t="str">
            <v>MOBILE</v>
          </cell>
          <cell r="K3" t="str">
            <v>WEB</v>
          </cell>
          <cell r="L3" t="str">
            <v>MOBILE</v>
          </cell>
          <cell r="M3" t="str">
            <v>WEB</v>
          </cell>
          <cell r="N3" t="str">
            <v>MOBILE</v>
          </cell>
          <cell r="O3" t="str">
            <v>WEB</v>
          </cell>
          <cell r="P3" t="str">
            <v>MOBILE</v>
          </cell>
        </row>
        <row r="4">
          <cell r="B4" t="str">
            <v>A.Koduru</v>
          </cell>
          <cell r="C4">
            <v>1</v>
          </cell>
          <cell r="E4">
            <v>1</v>
          </cell>
          <cell r="F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M4">
            <v>1</v>
          </cell>
          <cell r="N4">
            <v>1</v>
          </cell>
          <cell r="O4">
            <v>1</v>
          </cell>
          <cell r="Q4">
            <v>3.5714285714285716</v>
          </cell>
          <cell r="R4">
            <v>71.428571428571431</v>
          </cell>
        </row>
        <row r="5">
          <cell r="B5" t="str">
            <v>Anakapalli Rural</v>
          </cell>
          <cell r="C5">
            <v>4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5</v>
          </cell>
          <cell r="N5">
            <v>1</v>
          </cell>
          <cell r="O5">
            <v>1</v>
          </cell>
          <cell r="Q5">
            <v>4.6428571428571432</v>
          </cell>
          <cell r="R5">
            <v>92.857142857142861</v>
          </cell>
        </row>
        <row r="6">
          <cell r="B6" t="str">
            <v>Anakapalli Town</v>
          </cell>
          <cell r="C6">
            <v>2</v>
          </cell>
          <cell r="D6">
            <v>1</v>
          </cell>
          <cell r="E6">
            <v>2</v>
          </cell>
          <cell r="F6">
            <v>1</v>
          </cell>
          <cell r="G6">
            <v>1</v>
          </cell>
          <cell r="H6">
            <v>1</v>
          </cell>
          <cell r="I6">
            <v>2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6</v>
          </cell>
          <cell r="P6">
            <v>1</v>
          </cell>
          <cell r="Q6">
            <v>5</v>
          </cell>
          <cell r="R6">
            <v>100</v>
          </cell>
        </row>
        <row r="7">
          <cell r="B7" t="str">
            <v>Anakapalli Traffic</v>
          </cell>
          <cell r="C7">
            <v>1</v>
          </cell>
          <cell r="E7">
            <v>1</v>
          </cell>
          <cell r="F7">
            <v>1</v>
          </cell>
          <cell r="H7">
            <v>1</v>
          </cell>
          <cell r="I7">
            <v>1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Q7">
            <v>3.5714285714285716</v>
          </cell>
          <cell r="R7">
            <v>71.428571428571431</v>
          </cell>
        </row>
        <row r="8">
          <cell r="B8" t="str">
            <v>Atchutapuram</v>
          </cell>
          <cell r="G8">
            <v>1</v>
          </cell>
          <cell r="K8">
            <v>1</v>
          </cell>
          <cell r="M8">
            <v>1</v>
          </cell>
          <cell r="O8">
            <v>1</v>
          </cell>
          <cell r="Q8">
            <v>1.4285714285714286</v>
          </cell>
          <cell r="R8">
            <v>28.571428571428569</v>
          </cell>
        </row>
        <row r="9">
          <cell r="B9" t="str">
            <v>Butchiyyapeta</v>
          </cell>
          <cell r="C9">
            <v>3</v>
          </cell>
          <cell r="G9">
            <v>2</v>
          </cell>
          <cell r="J9">
            <v>1</v>
          </cell>
          <cell r="M9">
            <v>3</v>
          </cell>
          <cell r="O9">
            <v>1</v>
          </cell>
          <cell r="Q9">
            <v>1.7857142857142858</v>
          </cell>
          <cell r="R9">
            <v>35.714285714285715</v>
          </cell>
        </row>
        <row r="10">
          <cell r="B10" t="str">
            <v>Cheedikada</v>
          </cell>
          <cell r="C10">
            <v>1</v>
          </cell>
          <cell r="Q10">
            <v>0.35714285714285715</v>
          </cell>
          <cell r="R10">
            <v>7.1428571428571423</v>
          </cell>
        </row>
        <row r="11">
          <cell r="B11" t="str">
            <v>Chodavaram</v>
          </cell>
          <cell r="C11">
            <v>4</v>
          </cell>
          <cell r="D11">
            <v>1</v>
          </cell>
          <cell r="E11">
            <v>1</v>
          </cell>
          <cell r="F11">
            <v>1</v>
          </cell>
          <cell r="G11">
            <v>1</v>
          </cell>
          <cell r="I11">
            <v>1</v>
          </cell>
          <cell r="J11">
            <v>1</v>
          </cell>
          <cell r="K11">
            <v>1</v>
          </cell>
          <cell r="M11">
            <v>1</v>
          </cell>
          <cell r="N11">
            <v>1</v>
          </cell>
          <cell r="Q11">
            <v>3.5714285714285716</v>
          </cell>
          <cell r="R11">
            <v>71.428571428571431</v>
          </cell>
        </row>
        <row r="12">
          <cell r="B12" t="str">
            <v>Devarapalli</v>
          </cell>
          <cell r="K12">
            <v>1</v>
          </cell>
          <cell r="M12">
            <v>1</v>
          </cell>
          <cell r="Q12">
            <v>0.7142857142857143</v>
          </cell>
          <cell r="R12">
            <v>14.285714285714285</v>
          </cell>
        </row>
        <row r="13">
          <cell r="B13" t="str">
            <v>Golugonda</v>
          </cell>
          <cell r="C13">
            <v>1</v>
          </cell>
          <cell r="D13">
            <v>1</v>
          </cell>
          <cell r="E13">
            <v>1</v>
          </cell>
          <cell r="F13">
            <v>1</v>
          </cell>
          <cell r="G13">
            <v>1</v>
          </cell>
          <cell r="H13">
            <v>1</v>
          </cell>
          <cell r="J13">
            <v>1</v>
          </cell>
          <cell r="L13">
            <v>1</v>
          </cell>
          <cell r="M13">
            <v>1</v>
          </cell>
          <cell r="N13">
            <v>1</v>
          </cell>
          <cell r="O13">
            <v>1</v>
          </cell>
          <cell r="Q13">
            <v>3.9285714285714284</v>
          </cell>
          <cell r="R13">
            <v>78.571428571428569</v>
          </cell>
        </row>
        <row r="14">
          <cell r="B14" t="str">
            <v>K.D.Peta</v>
          </cell>
          <cell r="N14">
            <v>1</v>
          </cell>
          <cell r="Q14">
            <v>0.35714285714285715</v>
          </cell>
          <cell r="R14">
            <v>7.1428571428571423</v>
          </cell>
        </row>
        <row r="15">
          <cell r="B15" t="str">
            <v>K.Kotapadu</v>
          </cell>
          <cell r="I15">
            <v>3</v>
          </cell>
          <cell r="Q15">
            <v>0.35714285714285715</v>
          </cell>
          <cell r="R15">
            <v>7.1428571428571423</v>
          </cell>
        </row>
        <row r="16">
          <cell r="B16" t="str">
            <v>Kasimkota</v>
          </cell>
          <cell r="C16">
            <v>1</v>
          </cell>
          <cell r="E16">
            <v>1</v>
          </cell>
          <cell r="G16">
            <v>2</v>
          </cell>
          <cell r="H16">
            <v>1</v>
          </cell>
          <cell r="I16">
            <v>1</v>
          </cell>
          <cell r="K16">
            <v>1</v>
          </cell>
          <cell r="L16">
            <v>1</v>
          </cell>
          <cell r="M16">
            <v>1</v>
          </cell>
          <cell r="O16">
            <v>1</v>
          </cell>
          <cell r="Q16">
            <v>3.2142857142857144</v>
          </cell>
          <cell r="R16">
            <v>64.285714285714292</v>
          </cell>
        </row>
        <row r="17">
          <cell r="B17" t="str">
            <v>Kotavurtla</v>
          </cell>
          <cell r="C17">
            <v>3</v>
          </cell>
          <cell r="D17">
            <v>1</v>
          </cell>
          <cell r="E17">
            <v>1</v>
          </cell>
          <cell r="F17">
            <v>1</v>
          </cell>
          <cell r="G17">
            <v>1</v>
          </cell>
          <cell r="H17">
            <v>1</v>
          </cell>
          <cell r="I17">
            <v>26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  <cell r="Q17">
            <v>5</v>
          </cell>
          <cell r="R17">
            <v>100</v>
          </cell>
        </row>
        <row r="18">
          <cell r="B18" t="str">
            <v>Kothakota</v>
          </cell>
          <cell r="Q18">
            <v>0</v>
          </cell>
          <cell r="R18">
            <v>0</v>
          </cell>
        </row>
        <row r="19">
          <cell r="B19" t="str">
            <v>Mahila UPS, Anakapalli</v>
          </cell>
          <cell r="Q19">
            <v>0</v>
          </cell>
          <cell r="R19">
            <v>0</v>
          </cell>
        </row>
        <row r="20">
          <cell r="B20" t="str">
            <v>Makavarapalem</v>
          </cell>
          <cell r="Q20">
            <v>0</v>
          </cell>
          <cell r="R20">
            <v>0</v>
          </cell>
        </row>
        <row r="21">
          <cell r="B21" t="str">
            <v>Munagapaka</v>
          </cell>
          <cell r="C21">
            <v>2</v>
          </cell>
          <cell r="D21">
            <v>1</v>
          </cell>
          <cell r="E21">
            <v>4</v>
          </cell>
          <cell r="F21">
            <v>1</v>
          </cell>
          <cell r="G21">
            <v>6</v>
          </cell>
          <cell r="I21">
            <v>1</v>
          </cell>
          <cell r="J21">
            <v>1</v>
          </cell>
          <cell r="K21">
            <v>3</v>
          </cell>
          <cell r="M21">
            <v>2</v>
          </cell>
          <cell r="N21">
            <v>1</v>
          </cell>
          <cell r="Q21">
            <v>3.5714285714285716</v>
          </cell>
          <cell r="R21">
            <v>71.428571428571431</v>
          </cell>
        </row>
        <row r="22">
          <cell r="B22" t="str">
            <v>Nakkapalli</v>
          </cell>
          <cell r="Q22">
            <v>0</v>
          </cell>
          <cell r="R22">
            <v>0</v>
          </cell>
        </row>
        <row r="23">
          <cell r="B23" t="str">
            <v>Narsipatnam Rural</v>
          </cell>
          <cell r="Q23">
            <v>0</v>
          </cell>
          <cell r="R23">
            <v>0</v>
          </cell>
        </row>
        <row r="24">
          <cell r="B24" t="str">
            <v>Narsipatnam Town</v>
          </cell>
          <cell r="C24">
            <v>1</v>
          </cell>
          <cell r="D24">
            <v>1</v>
          </cell>
          <cell r="E24">
            <v>1</v>
          </cell>
          <cell r="F24">
            <v>1</v>
          </cell>
          <cell r="G24">
            <v>1</v>
          </cell>
          <cell r="H24">
            <v>1</v>
          </cell>
          <cell r="I24">
            <v>2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Q24">
            <v>4.2857142857142856</v>
          </cell>
          <cell r="R24">
            <v>85.714285714285708</v>
          </cell>
        </row>
        <row r="25">
          <cell r="B25" t="str">
            <v>Nathavaram</v>
          </cell>
          <cell r="C25">
            <v>1</v>
          </cell>
          <cell r="D25">
            <v>1</v>
          </cell>
          <cell r="E25">
            <v>1</v>
          </cell>
          <cell r="F25">
            <v>1</v>
          </cell>
          <cell r="H25">
            <v>1</v>
          </cell>
          <cell r="J25">
            <v>1</v>
          </cell>
          <cell r="K25">
            <v>1</v>
          </cell>
          <cell r="L25">
            <v>1</v>
          </cell>
          <cell r="O25">
            <v>2</v>
          </cell>
          <cell r="Q25">
            <v>3.2142857142857144</v>
          </cell>
          <cell r="R25">
            <v>64.285714285714292</v>
          </cell>
        </row>
        <row r="26">
          <cell r="B26" t="str">
            <v>Parawada</v>
          </cell>
          <cell r="C26">
            <v>1</v>
          </cell>
          <cell r="D26">
            <v>1</v>
          </cell>
          <cell r="F26">
            <v>1</v>
          </cell>
          <cell r="G26">
            <v>1</v>
          </cell>
          <cell r="I26">
            <v>1</v>
          </cell>
          <cell r="K26">
            <v>1</v>
          </cell>
          <cell r="L26">
            <v>1</v>
          </cell>
          <cell r="N26">
            <v>1</v>
          </cell>
          <cell r="O26">
            <v>1</v>
          </cell>
          <cell r="Q26">
            <v>3.2142857142857144</v>
          </cell>
          <cell r="R26">
            <v>64.285714285714292</v>
          </cell>
        </row>
        <row r="27">
          <cell r="B27" t="str">
            <v>Payakaraopeta</v>
          </cell>
          <cell r="C27">
            <v>1</v>
          </cell>
          <cell r="D27">
            <v>1</v>
          </cell>
          <cell r="E27">
            <v>1</v>
          </cell>
          <cell r="F27">
            <v>1</v>
          </cell>
          <cell r="G27">
            <v>2</v>
          </cell>
          <cell r="H27">
            <v>1</v>
          </cell>
          <cell r="I27">
            <v>1</v>
          </cell>
          <cell r="J27">
            <v>1</v>
          </cell>
          <cell r="K27">
            <v>1</v>
          </cell>
          <cell r="L27">
            <v>1</v>
          </cell>
          <cell r="M27">
            <v>1</v>
          </cell>
          <cell r="O27">
            <v>4</v>
          </cell>
          <cell r="Q27">
            <v>4.2857142857142856</v>
          </cell>
          <cell r="R27">
            <v>85.714285714285708</v>
          </cell>
        </row>
        <row r="28">
          <cell r="B28" t="str">
            <v>Rambilli</v>
          </cell>
          <cell r="G28">
            <v>1</v>
          </cell>
          <cell r="I28">
            <v>1</v>
          </cell>
          <cell r="Q28">
            <v>0.7142857142857143</v>
          </cell>
          <cell r="R28">
            <v>14.285714285714285</v>
          </cell>
        </row>
        <row r="29">
          <cell r="B29" t="str">
            <v>Ravikamatham</v>
          </cell>
          <cell r="Q29">
            <v>0</v>
          </cell>
          <cell r="R29">
            <v>0</v>
          </cell>
        </row>
        <row r="30">
          <cell r="B30" t="str">
            <v>Rolugunta</v>
          </cell>
          <cell r="Q30">
            <v>0</v>
          </cell>
          <cell r="R30">
            <v>0</v>
          </cell>
        </row>
        <row r="31">
          <cell r="B31" t="str">
            <v>S.Rayavaram</v>
          </cell>
          <cell r="C31">
            <v>1</v>
          </cell>
          <cell r="F31">
            <v>1</v>
          </cell>
          <cell r="H31">
            <v>1</v>
          </cell>
          <cell r="J31">
            <v>1</v>
          </cell>
          <cell r="L31">
            <v>1</v>
          </cell>
          <cell r="N31">
            <v>1</v>
          </cell>
          <cell r="O31">
            <v>1</v>
          </cell>
          <cell r="Q31">
            <v>2.5</v>
          </cell>
          <cell r="R31">
            <v>50</v>
          </cell>
        </row>
        <row r="32">
          <cell r="B32" t="str">
            <v>Sabbavaram</v>
          </cell>
          <cell r="C32">
            <v>1</v>
          </cell>
          <cell r="D32">
            <v>1</v>
          </cell>
          <cell r="E32">
            <v>2</v>
          </cell>
          <cell r="F32">
            <v>1</v>
          </cell>
          <cell r="G32">
            <v>1</v>
          </cell>
          <cell r="H32">
            <v>1</v>
          </cell>
          <cell r="I32">
            <v>1</v>
          </cell>
          <cell r="J32">
            <v>1</v>
          </cell>
          <cell r="K32">
            <v>1</v>
          </cell>
          <cell r="L32">
            <v>1</v>
          </cell>
          <cell r="M32">
            <v>1</v>
          </cell>
          <cell r="N32">
            <v>1</v>
          </cell>
          <cell r="O32">
            <v>1</v>
          </cell>
          <cell r="P32">
            <v>1</v>
          </cell>
          <cell r="Q32">
            <v>5</v>
          </cell>
          <cell r="R32">
            <v>100</v>
          </cell>
        </row>
        <row r="33">
          <cell r="B33" t="str">
            <v>V.Madugula</v>
          </cell>
          <cell r="D33">
            <v>1</v>
          </cell>
          <cell r="I33">
            <v>1</v>
          </cell>
          <cell r="M33">
            <v>2</v>
          </cell>
          <cell r="O33">
            <v>1</v>
          </cell>
          <cell r="Q33">
            <v>1.4285714285714286</v>
          </cell>
          <cell r="R33">
            <v>28.571428571428569</v>
          </cell>
        </row>
        <row r="34">
          <cell r="B34" t="str">
            <v>Yelamanchili Rural</v>
          </cell>
          <cell r="C34">
            <v>1</v>
          </cell>
          <cell r="D34">
            <v>1</v>
          </cell>
          <cell r="E34">
            <v>1</v>
          </cell>
          <cell r="F34">
            <v>1</v>
          </cell>
          <cell r="G34">
            <v>1</v>
          </cell>
          <cell r="H34">
            <v>1</v>
          </cell>
          <cell r="J34">
            <v>1</v>
          </cell>
          <cell r="K34">
            <v>1</v>
          </cell>
          <cell r="L34">
            <v>1</v>
          </cell>
          <cell r="N34">
            <v>1</v>
          </cell>
          <cell r="O34">
            <v>1</v>
          </cell>
          <cell r="Q34">
            <v>3.9285714285714284</v>
          </cell>
          <cell r="R34">
            <v>78.571428571428569</v>
          </cell>
        </row>
        <row r="35">
          <cell r="B35" t="str">
            <v>Yelamanchili Town</v>
          </cell>
          <cell r="C35">
            <v>1</v>
          </cell>
          <cell r="D35">
            <v>1</v>
          </cell>
          <cell r="E35">
            <v>2</v>
          </cell>
          <cell r="F35">
            <v>1</v>
          </cell>
          <cell r="G35">
            <v>1</v>
          </cell>
          <cell r="H35">
            <v>1</v>
          </cell>
          <cell r="I35">
            <v>1</v>
          </cell>
          <cell r="J35">
            <v>1</v>
          </cell>
          <cell r="M35">
            <v>2</v>
          </cell>
          <cell r="O35">
            <v>6</v>
          </cell>
          <cell r="Q35">
            <v>3.5714285714285716</v>
          </cell>
          <cell r="R35">
            <v>71.428571428571431</v>
          </cell>
        </row>
        <row r="36">
          <cell r="B36" t="str">
            <v>Yelamanchili Traffic</v>
          </cell>
          <cell r="C36">
            <v>1</v>
          </cell>
          <cell r="E36">
            <v>1</v>
          </cell>
          <cell r="F36">
            <v>1</v>
          </cell>
          <cell r="G36">
            <v>1</v>
          </cell>
          <cell r="H36">
            <v>1</v>
          </cell>
          <cell r="J36">
            <v>1</v>
          </cell>
          <cell r="K36">
            <v>1</v>
          </cell>
          <cell r="L36">
            <v>1</v>
          </cell>
          <cell r="N36">
            <v>1</v>
          </cell>
          <cell r="O36">
            <v>1</v>
          </cell>
          <cell r="Q36">
            <v>3.5714285714285716</v>
          </cell>
          <cell r="R36">
            <v>71.428571428571431</v>
          </cell>
        </row>
        <row r="37">
          <cell r="C37">
            <v>32</v>
          </cell>
          <cell r="D37">
            <v>14</v>
          </cell>
          <cell r="E37">
            <v>22</v>
          </cell>
          <cell r="F37">
            <v>17</v>
          </cell>
          <cell r="G37">
            <v>25</v>
          </cell>
          <cell r="H37">
            <v>15</v>
          </cell>
          <cell r="I37">
            <v>45</v>
          </cell>
          <cell r="J37">
            <v>17</v>
          </cell>
          <cell r="K37">
            <v>19</v>
          </cell>
          <cell r="L37">
            <v>14</v>
          </cell>
          <cell r="M37">
            <v>26</v>
          </cell>
          <cell r="N37">
            <v>15</v>
          </cell>
          <cell r="O37">
            <v>31</v>
          </cell>
          <cell r="P37">
            <v>3</v>
          </cell>
          <cell r="Q37">
            <v>2.3268398268398265</v>
          </cell>
          <cell r="R37">
            <v>46.53679653679653</v>
          </cell>
        </row>
      </sheetData>
      <sheetData sheetId="17">
        <row r="2">
          <cell r="B2" t="str">
            <v>PS Name</v>
          </cell>
          <cell r="C2" t="str">
            <v xml:space="preserve">Total FIRS 
Registered </v>
          </cell>
          <cell r="D2" t="str">
            <v>Total FORM1 Uploads</v>
          </cell>
          <cell r="E2" t="str">
            <v>Raw Value</v>
          </cell>
          <cell r="F2" t="str">
            <v>Marks</v>
          </cell>
        </row>
        <row r="3">
          <cell r="B3" t="str">
            <v>A.Koduru</v>
          </cell>
          <cell r="E3">
            <v>100</v>
          </cell>
          <cell r="F3">
            <v>10</v>
          </cell>
        </row>
        <row r="4">
          <cell r="B4" t="str">
            <v>Anakapalli Rural</v>
          </cell>
          <cell r="E4">
            <v>100</v>
          </cell>
          <cell r="F4">
            <v>10</v>
          </cell>
        </row>
        <row r="5">
          <cell r="B5" t="str">
            <v>Anakapalli Town</v>
          </cell>
          <cell r="E5">
            <v>100</v>
          </cell>
          <cell r="F5">
            <v>10</v>
          </cell>
        </row>
        <row r="6">
          <cell r="B6" t="str">
            <v>Anakapalli Traffic</v>
          </cell>
          <cell r="E6">
            <v>100</v>
          </cell>
          <cell r="F6">
            <v>10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10</v>
          </cell>
        </row>
        <row r="8">
          <cell r="B8" t="str">
            <v>Butchiyyapeta</v>
          </cell>
          <cell r="E8">
            <v>100</v>
          </cell>
          <cell r="F8">
            <v>10</v>
          </cell>
        </row>
        <row r="9">
          <cell r="B9" t="str">
            <v>Cheedikada</v>
          </cell>
          <cell r="E9">
            <v>100</v>
          </cell>
          <cell r="F9">
            <v>10</v>
          </cell>
        </row>
        <row r="10">
          <cell r="B10" t="str">
            <v>Chodavaram</v>
          </cell>
          <cell r="E10">
            <v>100</v>
          </cell>
          <cell r="F10">
            <v>10</v>
          </cell>
        </row>
        <row r="11">
          <cell r="B11" t="str">
            <v>Devarapalli</v>
          </cell>
          <cell r="E11">
            <v>100</v>
          </cell>
          <cell r="F11">
            <v>10</v>
          </cell>
        </row>
        <row r="12">
          <cell r="B12" t="str">
            <v>Golugonda</v>
          </cell>
          <cell r="E12">
            <v>100</v>
          </cell>
          <cell r="F12">
            <v>10</v>
          </cell>
        </row>
        <row r="13">
          <cell r="B13" t="str">
            <v>K.D.Peta</v>
          </cell>
          <cell r="E13">
            <v>100</v>
          </cell>
          <cell r="F13">
            <v>10</v>
          </cell>
        </row>
        <row r="14">
          <cell r="B14" t="str">
            <v>K.Kotapadu</v>
          </cell>
          <cell r="E14">
            <v>100</v>
          </cell>
          <cell r="F14">
            <v>10</v>
          </cell>
        </row>
        <row r="15">
          <cell r="B15" t="str">
            <v>Kasimkota</v>
          </cell>
          <cell r="C15">
            <v>2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Kotavurtla</v>
          </cell>
          <cell r="E16">
            <v>100</v>
          </cell>
          <cell r="F16">
            <v>10</v>
          </cell>
        </row>
        <row r="17">
          <cell r="B17" t="str">
            <v>Kothakota</v>
          </cell>
          <cell r="C17">
            <v>1</v>
          </cell>
          <cell r="D17">
            <v>1</v>
          </cell>
          <cell r="E17">
            <v>100</v>
          </cell>
          <cell r="F17">
            <v>10</v>
          </cell>
        </row>
        <row r="18">
          <cell r="B18" t="str">
            <v>Mahila UPS, Anakapalli</v>
          </cell>
          <cell r="E18">
            <v>100</v>
          </cell>
          <cell r="F18">
            <v>10</v>
          </cell>
        </row>
        <row r="19">
          <cell r="B19" t="str">
            <v>Makavarapalem</v>
          </cell>
          <cell r="E19">
            <v>100</v>
          </cell>
          <cell r="F19">
            <v>10</v>
          </cell>
        </row>
        <row r="20">
          <cell r="B20" t="str">
            <v>Munagapaka</v>
          </cell>
          <cell r="E20">
            <v>100</v>
          </cell>
          <cell r="F20">
            <v>10</v>
          </cell>
        </row>
        <row r="21">
          <cell r="B21" t="str">
            <v>Nakkapalli</v>
          </cell>
          <cell r="E21">
            <v>100</v>
          </cell>
          <cell r="F21">
            <v>10</v>
          </cell>
        </row>
        <row r="22">
          <cell r="B22" t="str">
            <v>Narsipatnam Rural</v>
          </cell>
          <cell r="E22">
            <v>100</v>
          </cell>
          <cell r="F22">
            <v>10</v>
          </cell>
        </row>
        <row r="23">
          <cell r="B23" t="str">
            <v>Narsipatnam Town</v>
          </cell>
          <cell r="E23">
            <v>100</v>
          </cell>
          <cell r="F23">
            <v>10</v>
          </cell>
        </row>
        <row r="24">
          <cell r="B24" t="str">
            <v>Nathavaram</v>
          </cell>
          <cell r="C24">
            <v>1</v>
          </cell>
          <cell r="D24">
            <v>1</v>
          </cell>
          <cell r="E24">
            <v>100</v>
          </cell>
          <cell r="F24">
            <v>10</v>
          </cell>
        </row>
        <row r="25">
          <cell r="B25" t="str">
            <v>Parawada</v>
          </cell>
          <cell r="E25">
            <v>100</v>
          </cell>
          <cell r="F25">
            <v>10</v>
          </cell>
        </row>
        <row r="26">
          <cell r="B26" t="str">
            <v>Payakaraopeta</v>
          </cell>
          <cell r="E26">
            <v>100</v>
          </cell>
          <cell r="F26">
            <v>10</v>
          </cell>
        </row>
        <row r="27">
          <cell r="B27" t="str">
            <v>Rambilli</v>
          </cell>
          <cell r="E27">
            <v>100</v>
          </cell>
          <cell r="F27">
            <v>10</v>
          </cell>
        </row>
        <row r="28">
          <cell r="B28" t="str">
            <v>Ravikamatham</v>
          </cell>
          <cell r="E28">
            <v>100</v>
          </cell>
          <cell r="F28">
            <v>10</v>
          </cell>
        </row>
        <row r="29">
          <cell r="B29" t="str">
            <v>Rolugunta</v>
          </cell>
          <cell r="E29">
            <v>100</v>
          </cell>
          <cell r="F29">
            <v>10</v>
          </cell>
        </row>
        <row r="30">
          <cell r="B30" t="str">
            <v>S.Rayavaram</v>
          </cell>
          <cell r="C30">
            <v>1</v>
          </cell>
          <cell r="D30">
            <v>1</v>
          </cell>
          <cell r="E30">
            <v>100</v>
          </cell>
          <cell r="F30">
            <v>10</v>
          </cell>
        </row>
        <row r="31">
          <cell r="B31" t="str">
            <v>Sabbavaram</v>
          </cell>
          <cell r="E31">
            <v>100</v>
          </cell>
          <cell r="F31">
            <v>10</v>
          </cell>
        </row>
        <row r="32">
          <cell r="B32" t="str">
            <v>V.Madugula</v>
          </cell>
          <cell r="C32">
            <v>1</v>
          </cell>
          <cell r="D32">
            <v>1</v>
          </cell>
          <cell r="E32">
            <v>100</v>
          </cell>
          <cell r="F32">
            <v>10</v>
          </cell>
        </row>
        <row r="33">
          <cell r="B33" t="str">
            <v>Yelamanchili Rural</v>
          </cell>
          <cell r="C33">
            <v>1</v>
          </cell>
          <cell r="D33">
            <v>1</v>
          </cell>
          <cell r="E33">
            <v>100</v>
          </cell>
          <cell r="F33">
            <v>10</v>
          </cell>
        </row>
        <row r="34">
          <cell r="B34" t="str">
            <v>Yelamanchili Town</v>
          </cell>
          <cell r="E34">
            <v>100</v>
          </cell>
          <cell r="F34">
            <v>10</v>
          </cell>
        </row>
        <row r="35">
          <cell r="B35" t="str">
            <v>Yelamanchili Traffic</v>
          </cell>
          <cell r="E35">
            <v>100</v>
          </cell>
          <cell r="F35">
            <v>10</v>
          </cell>
        </row>
        <row r="36">
          <cell r="C36">
            <v>8</v>
          </cell>
          <cell r="D36">
            <v>6</v>
          </cell>
          <cell r="E36">
            <v>96.969696969696969</v>
          </cell>
          <cell r="F36">
            <v>9.6969696969696972</v>
          </cell>
        </row>
      </sheetData>
      <sheetData sheetId="18">
        <row r="2">
          <cell r="B2" t="str">
            <v>PS NAME</v>
          </cell>
          <cell r="C2" t="str">
            <v>Raw Value</v>
          </cell>
          <cell r="D2" t="str">
            <v>Marks
(5%)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19">
        <row r="2">
          <cell r="B2" t="str">
            <v>PS NAME</v>
          </cell>
          <cell r="C2" t="str">
            <v>Total
 Cases Reported</v>
          </cell>
          <cell r="D2" t="str">
            <v>No. of cases
 eFSLcreated</v>
          </cell>
          <cell r="E2" t="str">
            <v>Raw Value</v>
          </cell>
          <cell r="F2" t="str">
            <v>Marks
(5%)</v>
          </cell>
        </row>
        <row r="3">
          <cell r="B3" t="str">
            <v>A.Koduru</v>
          </cell>
          <cell r="E3">
            <v>100</v>
          </cell>
          <cell r="F3">
            <v>5</v>
          </cell>
        </row>
        <row r="4">
          <cell r="B4" t="str">
            <v>Anakapalli Rural</v>
          </cell>
          <cell r="C4">
            <v>1</v>
          </cell>
          <cell r="D4">
            <v>1</v>
          </cell>
          <cell r="E4">
            <v>100</v>
          </cell>
          <cell r="F4">
            <v>5</v>
          </cell>
        </row>
        <row r="5">
          <cell r="B5" t="str">
            <v>Anakapalli Town</v>
          </cell>
          <cell r="C5">
            <v>1</v>
          </cell>
          <cell r="D5">
            <v>1</v>
          </cell>
          <cell r="E5">
            <v>100</v>
          </cell>
          <cell r="F5">
            <v>5</v>
          </cell>
        </row>
        <row r="6">
          <cell r="B6" t="str">
            <v>Anakapalli Traffic</v>
          </cell>
          <cell r="E6">
            <v>100</v>
          </cell>
          <cell r="F6">
            <v>5</v>
          </cell>
        </row>
        <row r="7">
          <cell r="B7" t="str">
            <v>Atchutapuram</v>
          </cell>
          <cell r="C7">
            <v>1</v>
          </cell>
          <cell r="D7">
            <v>1</v>
          </cell>
          <cell r="E7">
            <v>100</v>
          </cell>
          <cell r="F7">
            <v>5</v>
          </cell>
        </row>
        <row r="8">
          <cell r="B8" t="str">
            <v>Butchiyyapeta</v>
          </cell>
          <cell r="C8">
            <v>3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Cheedikada</v>
          </cell>
          <cell r="E9">
            <v>100</v>
          </cell>
          <cell r="F9">
            <v>5</v>
          </cell>
        </row>
        <row r="10">
          <cell r="B10" t="str">
            <v>Chodavaram</v>
          </cell>
          <cell r="E10">
            <v>100</v>
          </cell>
          <cell r="F10">
            <v>5</v>
          </cell>
        </row>
        <row r="11">
          <cell r="B11" t="str">
            <v>Devarapalli</v>
          </cell>
          <cell r="E11">
            <v>100</v>
          </cell>
          <cell r="F11">
            <v>5</v>
          </cell>
        </row>
        <row r="12">
          <cell r="B12" t="str">
            <v>Golugonda</v>
          </cell>
          <cell r="C12">
            <v>2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K.D.Peta</v>
          </cell>
          <cell r="E13">
            <v>100</v>
          </cell>
          <cell r="F13">
            <v>5</v>
          </cell>
        </row>
        <row r="14">
          <cell r="B14" t="str">
            <v>K.Kotapadu</v>
          </cell>
          <cell r="C14">
            <v>1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Kasimkota</v>
          </cell>
          <cell r="E15">
            <v>100</v>
          </cell>
          <cell r="F15">
            <v>5</v>
          </cell>
        </row>
        <row r="16">
          <cell r="B16" t="str">
            <v>Kotavurtla</v>
          </cell>
          <cell r="E16">
            <v>100</v>
          </cell>
          <cell r="F16">
            <v>5</v>
          </cell>
        </row>
        <row r="17">
          <cell r="B17" t="str">
            <v>Kothakota</v>
          </cell>
          <cell r="E17">
            <v>100</v>
          </cell>
          <cell r="F17">
            <v>5</v>
          </cell>
        </row>
        <row r="18">
          <cell r="B18" t="str">
            <v>Mahila UPS, Anakapalli</v>
          </cell>
          <cell r="E18">
            <v>100</v>
          </cell>
          <cell r="F18">
            <v>5</v>
          </cell>
        </row>
        <row r="19">
          <cell r="B19" t="str">
            <v>Makavarapalem</v>
          </cell>
          <cell r="C19">
            <v>1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Munagapaka</v>
          </cell>
          <cell r="E20">
            <v>100</v>
          </cell>
          <cell r="F20">
            <v>5</v>
          </cell>
        </row>
        <row r="21">
          <cell r="B21" t="str">
            <v>Nakkapalli</v>
          </cell>
          <cell r="C21">
            <v>1</v>
          </cell>
          <cell r="D21">
            <v>1</v>
          </cell>
          <cell r="E21">
            <v>100</v>
          </cell>
          <cell r="F21">
            <v>5</v>
          </cell>
        </row>
        <row r="22">
          <cell r="B22" t="str">
            <v>Narsipatnam Rural</v>
          </cell>
          <cell r="E22">
            <v>100</v>
          </cell>
          <cell r="F22">
            <v>5</v>
          </cell>
        </row>
        <row r="23">
          <cell r="B23" t="str">
            <v>Narsipatnam Town</v>
          </cell>
          <cell r="E23">
            <v>100</v>
          </cell>
          <cell r="F23">
            <v>5</v>
          </cell>
        </row>
        <row r="24">
          <cell r="B24" t="str">
            <v>Nathavaram</v>
          </cell>
          <cell r="E24">
            <v>100</v>
          </cell>
          <cell r="F24">
            <v>5</v>
          </cell>
        </row>
        <row r="25">
          <cell r="B25" t="str">
            <v>Parawada</v>
          </cell>
          <cell r="C25">
            <v>5</v>
          </cell>
          <cell r="D25">
            <v>5</v>
          </cell>
          <cell r="E25">
            <v>100</v>
          </cell>
          <cell r="F25">
            <v>5</v>
          </cell>
        </row>
        <row r="26">
          <cell r="B26" t="str">
            <v>Payakaraopeta</v>
          </cell>
          <cell r="C26">
            <v>1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Rambilli</v>
          </cell>
          <cell r="C27">
            <v>1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Ravikamatham</v>
          </cell>
          <cell r="E28">
            <v>100</v>
          </cell>
          <cell r="F28">
            <v>5</v>
          </cell>
        </row>
        <row r="29">
          <cell r="B29" t="str">
            <v>Rolugunta</v>
          </cell>
          <cell r="E29">
            <v>100</v>
          </cell>
          <cell r="F29">
            <v>5</v>
          </cell>
        </row>
        <row r="30">
          <cell r="B30" t="str">
            <v>S.Rayavaram</v>
          </cell>
          <cell r="E30">
            <v>100</v>
          </cell>
          <cell r="F30">
            <v>5</v>
          </cell>
        </row>
        <row r="31">
          <cell r="B31" t="str">
            <v>Sabbavaram</v>
          </cell>
          <cell r="C31">
            <v>1</v>
          </cell>
          <cell r="D31">
            <v>1</v>
          </cell>
          <cell r="E31">
            <v>100</v>
          </cell>
          <cell r="F31">
            <v>5</v>
          </cell>
        </row>
        <row r="32">
          <cell r="B32" t="str">
            <v>V.Madugula</v>
          </cell>
          <cell r="E32">
            <v>100</v>
          </cell>
          <cell r="F32">
            <v>5</v>
          </cell>
        </row>
        <row r="33">
          <cell r="B33" t="str">
            <v>Yelamanchili Rural</v>
          </cell>
          <cell r="E33">
            <v>100</v>
          </cell>
          <cell r="F33">
            <v>5</v>
          </cell>
        </row>
        <row r="34">
          <cell r="B34" t="str">
            <v>Yelamanchili Town</v>
          </cell>
          <cell r="C34">
            <v>1</v>
          </cell>
          <cell r="D34">
            <v>1</v>
          </cell>
          <cell r="E34">
            <v>100</v>
          </cell>
          <cell r="F34">
            <v>5</v>
          </cell>
        </row>
        <row r="35">
          <cell r="B35" t="str">
            <v>Yelamanchili Traffic</v>
          </cell>
          <cell r="E35">
            <v>100</v>
          </cell>
          <cell r="F35">
            <v>5</v>
          </cell>
        </row>
        <row r="36">
          <cell r="E36">
            <v>100</v>
          </cell>
          <cell r="F36">
            <v>0</v>
          </cell>
        </row>
      </sheetData>
      <sheetData sheetId="20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1">
        <row r="2">
          <cell r="B2" t="str">
            <v>PS NAME</v>
          </cell>
          <cell r="C2" t="str">
            <v>Raw Value</v>
          </cell>
          <cell r="D2" t="str">
            <v>Marks
(2.5%)</v>
          </cell>
        </row>
        <row r="3">
          <cell r="B3" t="str">
            <v>A.Koduru</v>
          </cell>
          <cell r="C3">
            <v>0</v>
          </cell>
          <cell r="D3">
            <v>0</v>
          </cell>
        </row>
        <row r="4">
          <cell r="B4" t="str">
            <v>Anakapalli Rural</v>
          </cell>
          <cell r="C4">
            <v>0</v>
          </cell>
          <cell r="D4">
            <v>0</v>
          </cell>
        </row>
        <row r="5">
          <cell r="B5" t="str">
            <v>Anakapalli Town</v>
          </cell>
          <cell r="C5">
            <v>0</v>
          </cell>
          <cell r="D5">
            <v>0</v>
          </cell>
        </row>
        <row r="6">
          <cell r="B6" t="str">
            <v>Anakapalli Traffic</v>
          </cell>
          <cell r="C6">
            <v>0</v>
          </cell>
          <cell r="D6">
            <v>0</v>
          </cell>
        </row>
        <row r="7">
          <cell r="B7" t="str">
            <v>Atchutapuram</v>
          </cell>
          <cell r="C7">
            <v>0</v>
          </cell>
          <cell r="D7">
            <v>0</v>
          </cell>
        </row>
        <row r="8">
          <cell r="B8" t="str">
            <v>Butchiyyapeta</v>
          </cell>
          <cell r="C8">
            <v>0</v>
          </cell>
          <cell r="D8">
            <v>0</v>
          </cell>
        </row>
        <row r="9">
          <cell r="B9" t="str">
            <v>Cheedikada</v>
          </cell>
          <cell r="C9">
            <v>0</v>
          </cell>
          <cell r="D9">
            <v>0</v>
          </cell>
        </row>
        <row r="10">
          <cell r="B10" t="str">
            <v>Chodavaram</v>
          </cell>
          <cell r="C10">
            <v>0</v>
          </cell>
          <cell r="D10">
            <v>0</v>
          </cell>
        </row>
        <row r="11">
          <cell r="B11" t="str">
            <v>Devarapalli</v>
          </cell>
          <cell r="C11">
            <v>0</v>
          </cell>
          <cell r="D11">
            <v>0</v>
          </cell>
        </row>
        <row r="12">
          <cell r="B12" t="str">
            <v>Golugonda</v>
          </cell>
          <cell r="C12">
            <v>0</v>
          </cell>
          <cell r="D12">
            <v>0</v>
          </cell>
        </row>
        <row r="13">
          <cell r="B13" t="str">
            <v>K.D.Peta</v>
          </cell>
          <cell r="C13">
            <v>0</v>
          </cell>
          <cell r="D13">
            <v>0</v>
          </cell>
        </row>
        <row r="14">
          <cell r="B14" t="str">
            <v>K.Kotapadu</v>
          </cell>
          <cell r="C14">
            <v>0</v>
          </cell>
          <cell r="D14">
            <v>0</v>
          </cell>
        </row>
        <row r="15">
          <cell r="B15" t="str">
            <v>Kasimkota</v>
          </cell>
          <cell r="C15">
            <v>0</v>
          </cell>
          <cell r="D15">
            <v>0</v>
          </cell>
        </row>
        <row r="16">
          <cell r="B16" t="str">
            <v>Kotavurtla</v>
          </cell>
          <cell r="C16">
            <v>0</v>
          </cell>
          <cell r="D16">
            <v>0</v>
          </cell>
        </row>
        <row r="17">
          <cell r="B17" t="str">
            <v>Kothakota</v>
          </cell>
          <cell r="C17">
            <v>0</v>
          </cell>
          <cell r="D17">
            <v>0</v>
          </cell>
        </row>
        <row r="18">
          <cell r="B18" t="str">
            <v>Mahila UPS, Anakapalli</v>
          </cell>
          <cell r="C18">
            <v>0</v>
          </cell>
          <cell r="D18">
            <v>0</v>
          </cell>
        </row>
        <row r="19">
          <cell r="B19" t="str">
            <v>Makavarapalem</v>
          </cell>
          <cell r="C19">
            <v>0</v>
          </cell>
          <cell r="D19">
            <v>0</v>
          </cell>
        </row>
        <row r="20">
          <cell r="B20" t="str">
            <v>Munagapaka</v>
          </cell>
          <cell r="C20">
            <v>0</v>
          </cell>
          <cell r="D20">
            <v>0</v>
          </cell>
        </row>
        <row r="21">
          <cell r="B21" t="str">
            <v>Nakkapalli</v>
          </cell>
          <cell r="C21">
            <v>0</v>
          </cell>
          <cell r="D21">
            <v>0</v>
          </cell>
        </row>
        <row r="22">
          <cell r="B22" t="str">
            <v>Narsipatnam Rural</v>
          </cell>
          <cell r="C22">
            <v>0</v>
          </cell>
          <cell r="D22">
            <v>0</v>
          </cell>
        </row>
        <row r="23">
          <cell r="B23" t="str">
            <v>Narsipatnam Town</v>
          </cell>
          <cell r="C23">
            <v>0</v>
          </cell>
          <cell r="D23">
            <v>0</v>
          </cell>
        </row>
        <row r="24">
          <cell r="B24" t="str">
            <v>Nathavaram</v>
          </cell>
          <cell r="C24">
            <v>0</v>
          </cell>
          <cell r="D24">
            <v>0</v>
          </cell>
        </row>
        <row r="25">
          <cell r="B25" t="str">
            <v>Parawada</v>
          </cell>
          <cell r="C25">
            <v>0</v>
          </cell>
          <cell r="D25">
            <v>0</v>
          </cell>
        </row>
        <row r="26">
          <cell r="B26" t="str">
            <v>Payakaraopeta</v>
          </cell>
          <cell r="C26">
            <v>0</v>
          </cell>
          <cell r="D26">
            <v>0</v>
          </cell>
        </row>
        <row r="27">
          <cell r="B27" t="str">
            <v>Rambilli</v>
          </cell>
          <cell r="C27">
            <v>0</v>
          </cell>
          <cell r="D27">
            <v>0</v>
          </cell>
        </row>
        <row r="28">
          <cell r="B28" t="str">
            <v>Ravikamatham</v>
          </cell>
          <cell r="C28">
            <v>0</v>
          </cell>
          <cell r="D28">
            <v>0</v>
          </cell>
        </row>
        <row r="29">
          <cell r="B29" t="str">
            <v>Rolugunta</v>
          </cell>
          <cell r="C29">
            <v>0</v>
          </cell>
          <cell r="D29">
            <v>0</v>
          </cell>
        </row>
        <row r="30">
          <cell r="B30" t="str">
            <v>S.Rayavaram</v>
          </cell>
          <cell r="C30">
            <v>0</v>
          </cell>
          <cell r="D30">
            <v>0</v>
          </cell>
        </row>
        <row r="31">
          <cell r="B31" t="str">
            <v>Sabbavaram</v>
          </cell>
          <cell r="C31">
            <v>0</v>
          </cell>
          <cell r="D31">
            <v>0</v>
          </cell>
        </row>
        <row r="32">
          <cell r="B32" t="str">
            <v>V.Madugula</v>
          </cell>
          <cell r="C32">
            <v>0</v>
          </cell>
          <cell r="D32">
            <v>0</v>
          </cell>
        </row>
        <row r="33">
          <cell r="B33" t="str">
            <v>Yelamanchili Rural</v>
          </cell>
          <cell r="C33">
            <v>0</v>
          </cell>
          <cell r="D33">
            <v>0</v>
          </cell>
        </row>
        <row r="34">
          <cell r="B34" t="str">
            <v>Yelamanchili Town</v>
          </cell>
          <cell r="C34">
            <v>0</v>
          </cell>
          <cell r="D34">
            <v>0</v>
          </cell>
        </row>
        <row r="35">
          <cell r="B35" t="str">
            <v>Yelamanchili Traffic</v>
          </cell>
          <cell r="C35">
            <v>0</v>
          </cell>
          <cell r="D35">
            <v>0</v>
          </cell>
        </row>
        <row r="36">
          <cell r="D36">
            <v>0</v>
          </cell>
        </row>
      </sheetData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33FE-914F-4913-B984-C822D47BE161}">
  <sheetPr>
    <tabColor rgb="FF00B0F0"/>
    <pageSetUpPr fitToPage="1"/>
  </sheetPr>
  <dimension ref="A1:W35"/>
  <sheetViews>
    <sheetView tabSelected="1" workbookViewId="0">
      <pane ySplit="2" topLeftCell="A3" activePane="bottomLeft" state="frozen"/>
      <selection pane="bottomLeft" activeCell="T1" sqref="T1:T1048576"/>
    </sheetView>
  </sheetViews>
  <sheetFormatPr defaultRowHeight="14.4" x14ac:dyDescent="0.3"/>
  <cols>
    <col min="1" max="1" width="23.5546875" customWidth="1"/>
    <col min="2" max="23" width="7" style="10" customWidth="1"/>
  </cols>
  <sheetData>
    <row r="1" spans="1:23" ht="84.6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t="13.65" customHeight="1" x14ac:dyDescent="0.3">
      <c r="A2" s="4" t="s">
        <v>23</v>
      </c>
      <c r="B2" s="5">
        <v>2.5000000000000001E-2</v>
      </c>
      <c r="C2" s="5">
        <v>2.5000000000000001E-2</v>
      </c>
      <c r="D2" s="6">
        <v>0.05</v>
      </c>
      <c r="E2" s="5">
        <v>2.5000000000000001E-2</v>
      </c>
      <c r="F2" s="5">
        <v>2.5000000000000001E-2</v>
      </c>
      <c r="G2" s="5">
        <v>2.5000000000000001E-2</v>
      </c>
      <c r="H2" s="5">
        <v>2.5000000000000001E-2</v>
      </c>
      <c r="I2" s="6">
        <v>0.05</v>
      </c>
      <c r="J2" s="6">
        <v>0.05</v>
      </c>
      <c r="K2" s="6">
        <v>0.05</v>
      </c>
      <c r="L2" s="6">
        <v>0.05</v>
      </c>
      <c r="M2" s="6">
        <v>0.05</v>
      </c>
      <c r="N2" s="6">
        <v>0.05</v>
      </c>
      <c r="O2" s="6">
        <v>0.05</v>
      </c>
      <c r="P2" s="6">
        <v>0.1</v>
      </c>
      <c r="Q2" s="6">
        <v>0.05</v>
      </c>
      <c r="R2" s="6">
        <v>0.1</v>
      </c>
      <c r="S2" s="6">
        <v>0.05</v>
      </c>
      <c r="T2" s="6">
        <v>0.05</v>
      </c>
      <c r="U2" s="6">
        <v>0.05</v>
      </c>
      <c r="V2" s="5">
        <v>2.5000000000000001E-2</v>
      </c>
      <c r="W2" s="5">
        <v>2.5000000000000001E-2</v>
      </c>
    </row>
    <row r="3" spans="1:23" s="9" customFormat="1" ht="26.1" customHeight="1" x14ac:dyDescent="0.3">
      <c r="A3" s="7" t="s">
        <v>24</v>
      </c>
      <c r="B3" s="8" t="str">
        <f>VLOOKUP(A3,'[1]1_MEDLEAPR_PME'!B:H,6,0)</f>
        <v>100.00</v>
      </c>
      <c r="C3" s="8" t="str">
        <f>VLOOKUP(A3,'[1]2_MEDLEAPR_MLC'!B:I,6,0)</f>
        <v>100.00</v>
      </c>
      <c r="D3" s="8">
        <f>VLOOKUP(A3,'[1]3_NATGRID'!B:H,6,0)</f>
        <v>0</v>
      </c>
      <c r="E3" s="8">
        <f>VLOOKUP(A3,'[1]4_DGP_DASH'!B:E,3,0)</f>
        <v>100</v>
      </c>
      <c r="F3" s="8">
        <f>VLOOKUP(A3,'[1]5_CCTNS_TILL'!B:P,13,0)</f>
        <v>100</v>
      </c>
      <c r="G3" s="8">
        <f>VLOOKUP(A3,'[1]6_CCTNS_1_7'!B:P,13,0)</f>
        <v>50</v>
      </c>
      <c r="H3" s="8">
        <f>VLOOKUP(A3,'[1]7_CCTNS_8_15'!B:M,11,0)</f>
        <v>0</v>
      </c>
      <c r="I3" s="8">
        <f>VLOOKUP(A3,'[1]8_ZERO_FIRS'!B:H,6,0)</f>
        <v>100</v>
      </c>
      <c r="J3" s="8">
        <f>VLOOKUP(A3,'[1]9_CITIZEN_PORTAL'!B:H,6,0)</f>
        <v>100</v>
      </c>
      <c r="K3" s="8">
        <f>VLOOKUP(A3,'[1]10_ESAKSHYA'!B:L,6,0)</f>
        <v>100</v>
      </c>
      <c r="L3" s="8">
        <f>VLOOKUP(A3,'[1]11_CEIR'!B:L,10,0)</f>
        <v>0</v>
      </c>
      <c r="M3" s="8">
        <f>VLOOKUP(A3,'[1]12_EPROSEC'!B:H,4,0)</f>
        <v>50</v>
      </c>
      <c r="N3" s="8">
        <f>VLOOKUP(A3,'[1]13_FIR_CS_COURT'!B:L,11,0)</f>
        <v>91.666666666666657</v>
      </c>
      <c r="O3" s="8">
        <f>VLOOKUP(A3,'[1]14_EOFFICE'!B:K,9,0)</f>
        <v>0</v>
      </c>
      <c r="P3" s="8">
        <f>VLOOKUP(A3,'[1]15_APOLIS'!B:K,10,0)</f>
        <v>90.909090909090907</v>
      </c>
      <c r="Q3" s="8">
        <f>VLOOKUP(A3,'[1]16_APOLICE_FP'!B:H,5,0)</f>
        <v>0</v>
      </c>
      <c r="R3" s="8">
        <f>VLOOKUP(A3,'[1]18_EDAR'!B:F,4,0)</f>
        <v>100</v>
      </c>
      <c r="S3" s="8">
        <f>VLOOKUP(A3,'[1]17_CCTV_360'!B:S,17,0)</f>
        <v>71.428571428571431</v>
      </c>
      <c r="T3" s="8">
        <f>VLOOKUP(A3,'[1]19_NEWS360AI'!B:D,2,0)</f>
        <v>0</v>
      </c>
      <c r="U3" s="8">
        <f>VLOOKUP(A3,'[1]20_eFSL'!B:F,4,0)</f>
        <v>100</v>
      </c>
      <c r="V3" s="8">
        <f>VLOOKUP(A3,'[1]21_UC3'!B:D,2,0)</f>
        <v>0</v>
      </c>
      <c r="W3" s="8">
        <f>VLOOKUP(A3,'[1]22_UC4'!B:D,3,0)</f>
        <v>0</v>
      </c>
    </row>
    <row r="4" spans="1:23" s="9" customFormat="1" ht="26.1" customHeight="1" x14ac:dyDescent="0.3">
      <c r="A4" s="7" t="s">
        <v>25</v>
      </c>
      <c r="B4" s="8">
        <f>VLOOKUP(A4,'[1]1_MEDLEAPR_PME'!B:H,6,0)</f>
        <v>100</v>
      </c>
      <c r="C4" s="8">
        <f>VLOOKUP(A4,'[1]2_MEDLEAPR_MLC'!B:I,6,0)</f>
        <v>100</v>
      </c>
      <c r="D4" s="8">
        <f>VLOOKUP(A4,'[1]3_NATGRID'!B:H,6,0)</f>
        <v>0</v>
      </c>
      <c r="E4" s="8">
        <f>VLOOKUP(A4,'[1]4_DGP_DASH'!B:E,3,0)</f>
        <v>100</v>
      </c>
      <c r="F4" s="8">
        <f>VLOOKUP(A4,'[1]5_CCTNS_TILL'!B:P,13,0)</f>
        <v>96.11</v>
      </c>
      <c r="G4" s="8">
        <f>VLOOKUP(A4,'[1]6_CCTNS_1_7'!B:P,13,0)</f>
        <v>100</v>
      </c>
      <c r="H4" s="8">
        <f>VLOOKUP(A4,'[1]7_CCTNS_8_15'!B:M,11,0)</f>
        <v>0</v>
      </c>
      <c r="I4" s="8">
        <f>VLOOKUP(A4,'[1]8_ZERO_FIRS'!B:H,6,0)</f>
        <v>100</v>
      </c>
      <c r="J4" s="8">
        <f>VLOOKUP(A4,'[1]9_CITIZEN_PORTAL'!B:H,6,0)</f>
        <v>100</v>
      </c>
      <c r="K4" s="8">
        <f>VLOOKUP(A4,'[1]10_ESAKSHYA'!B:L,6,0)</f>
        <v>43.065693430656935</v>
      </c>
      <c r="L4" s="8">
        <f>VLOOKUP(A4,'[1]11_CEIR'!B:L,10,0)</f>
        <v>0</v>
      </c>
      <c r="M4" s="8">
        <f>VLOOKUP(A4,'[1]12_EPROSEC'!B:H,4,0)</f>
        <v>33.333333333333336</v>
      </c>
      <c r="N4" s="8">
        <f>VLOOKUP(A4,'[1]13_FIR_CS_COURT'!B:L,11,0)</f>
        <v>52.419510314247162</v>
      </c>
      <c r="O4" s="8">
        <f>VLOOKUP(A4,'[1]14_EOFFICE'!B:K,9,0)</f>
        <v>0</v>
      </c>
      <c r="P4" s="8">
        <f>VLOOKUP(A4,'[1]15_APOLIS'!B:K,10,0)</f>
        <v>91.176470588235304</v>
      </c>
      <c r="Q4" s="8">
        <f>VLOOKUP(A4,'[1]16_APOLICE_FP'!B:H,5,0)</f>
        <v>0</v>
      </c>
      <c r="R4" s="8">
        <f>VLOOKUP(A4,'[1]18_EDAR'!B:F,4,0)</f>
        <v>100</v>
      </c>
      <c r="S4" s="8">
        <f>VLOOKUP(A4,'[1]17_CCTV_360'!B:S,17,0)</f>
        <v>92.857142857142861</v>
      </c>
      <c r="T4" s="8">
        <f>VLOOKUP(A4,'[1]19_NEWS360AI'!B:D,2,0)</f>
        <v>0</v>
      </c>
      <c r="U4" s="8">
        <f>VLOOKUP(A4,'[1]20_eFSL'!B:F,4,0)</f>
        <v>100</v>
      </c>
      <c r="V4" s="8">
        <f>VLOOKUP(A4,'[1]21_UC3'!B:D,2,0)</f>
        <v>0</v>
      </c>
      <c r="W4" s="8">
        <f>VLOOKUP(A4,'[1]22_UC4'!B:D,3,0)</f>
        <v>0</v>
      </c>
    </row>
    <row r="5" spans="1:23" s="9" customFormat="1" ht="26.1" customHeight="1" x14ac:dyDescent="0.3">
      <c r="A5" s="7" t="s">
        <v>26</v>
      </c>
      <c r="B5" s="8">
        <f>VLOOKUP(A5,'[1]1_MEDLEAPR_PME'!B:H,6,0)</f>
        <v>100</v>
      </c>
      <c r="C5" s="8" t="str">
        <f>VLOOKUP(A5,'[1]2_MEDLEAPR_MLC'!B:I,6,0)</f>
        <v>100.00</v>
      </c>
      <c r="D5" s="8">
        <f>VLOOKUP(A5,'[1]3_NATGRID'!B:H,6,0)</f>
        <v>0</v>
      </c>
      <c r="E5" s="8">
        <f>VLOOKUP(A5,'[1]4_DGP_DASH'!B:E,3,0)</f>
        <v>100</v>
      </c>
      <c r="F5" s="8">
        <f>VLOOKUP(A5,'[1]5_CCTNS_TILL'!B:P,13,0)</f>
        <v>80.41</v>
      </c>
      <c r="G5" s="8">
        <f>VLOOKUP(A5,'[1]6_CCTNS_1_7'!B:P,13,0)</f>
        <v>74.39</v>
      </c>
      <c r="H5" s="8">
        <f>VLOOKUP(A5,'[1]7_CCTNS_8_15'!B:M,11,0)</f>
        <v>0</v>
      </c>
      <c r="I5" s="8">
        <f>VLOOKUP(A5,'[1]8_ZERO_FIRS'!B:H,6,0)</f>
        <v>100</v>
      </c>
      <c r="J5" s="8">
        <f>VLOOKUP(A5,'[1]9_CITIZEN_PORTAL'!B:H,6,0)</f>
        <v>100</v>
      </c>
      <c r="K5" s="8">
        <f>VLOOKUP(A5,'[1]10_ESAKSHYA'!B:L,6,0)</f>
        <v>37.517630465444284</v>
      </c>
      <c r="L5" s="8">
        <f>VLOOKUP(A5,'[1]11_CEIR'!B:L,10,0)</f>
        <v>0</v>
      </c>
      <c r="M5" s="8">
        <f>VLOOKUP(A5,'[1]12_EPROSEC'!B:H,4,0)</f>
        <v>0</v>
      </c>
      <c r="N5" s="8">
        <f>VLOOKUP(A5,'[1]13_FIR_CS_COURT'!B:L,11,0)</f>
        <v>50.480769230769234</v>
      </c>
      <c r="O5" s="8">
        <f>VLOOKUP(A5,'[1]14_EOFFICE'!B:K,9,0)</f>
        <v>0</v>
      </c>
      <c r="P5" s="8">
        <f>VLOOKUP(A5,'[1]15_APOLIS'!B:K,10,0)</f>
        <v>91.666666666666657</v>
      </c>
      <c r="Q5" s="8">
        <f>VLOOKUP(A5,'[1]16_APOLICE_FP'!B:H,5,0)</f>
        <v>0</v>
      </c>
      <c r="R5" s="8">
        <f>VLOOKUP(A5,'[1]18_EDAR'!B:F,4,0)</f>
        <v>100</v>
      </c>
      <c r="S5" s="8">
        <f>VLOOKUP(A5,'[1]17_CCTV_360'!B:S,17,0)</f>
        <v>100</v>
      </c>
      <c r="T5" s="8">
        <f>VLOOKUP(A5,'[1]19_NEWS360AI'!B:D,2,0)</f>
        <v>0</v>
      </c>
      <c r="U5" s="8">
        <f>VLOOKUP(A5,'[1]20_eFSL'!B:F,4,0)</f>
        <v>100</v>
      </c>
      <c r="V5" s="8">
        <f>VLOOKUP(A5,'[1]21_UC3'!B:D,2,0)</f>
        <v>0</v>
      </c>
      <c r="W5" s="8">
        <f>VLOOKUP(A5,'[1]22_UC4'!B:D,3,0)</f>
        <v>0</v>
      </c>
    </row>
    <row r="6" spans="1:23" s="9" customFormat="1" ht="26.1" customHeight="1" x14ac:dyDescent="0.3">
      <c r="A6" s="7" t="s">
        <v>27</v>
      </c>
      <c r="B6" s="8" t="str">
        <f>VLOOKUP(A6,'[1]1_MEDLEAPR_PME'!B:H,6,0)</f>
        <v>100.00</v>
      </c>
      <c r="C6" s="8">
        <f>VLOOKUP(A6,'[1]2_MEDLEAPR_MLC'!B:I,6,0)</f>
        <v>100</v>
      </c>
      <c r="D6" s="8">
        <f>VLOOKUP(A6,'[1]3_NATGRID'!B:H,6,0)</f>
        <v>0</v>
      </c>
      <c r="E6" s="8">
        <f>VLOOKUP(A6,'[1]4_DGP_DASH'!B:E,3,0)</f>
        <v>100</v>
      </c>
      <c r="F6" s="8">
        <f>VLOOKUP(A6,'[1]5_CCTNS_TILL'!B:P,13,0)</f>
        <v>100</v>
      </c>
      <c r="G6" s="8">
        <f>VLOOKUP(A6,'[1]6_CCTNS_1_7'!B:P,13,0)</f>
        <v>59.51</v>
      </c>
      <c r="H6" s="8">
        <f>VLOOKUP(A6,'[1]7_CCTNS_8_15'!B:M,11,0)</f>
        <v>0</v>
      </c>
      <c r="I6" s="8">
        <f>VLOOKUP(A6,'[1]8_ZERO_FIRS'!B:H,6,0)</f>
        <v>100</v>
      </c>
      <c r="J6" s="8">
        <f>VLOOKUP(A6,'[1]9_CITIZEN_PORTAL'!B:H,6,0)</f>
        <v>100</v>
      </c>
      <c r="K6" s="8">
        <f>VLOOKUP(A6,'[1]10_ESAKSHYA'!B:L,6,0)</f>
        <v>53.879310344827587</v>
      </c>
      <c r="L6" s="8">
        <f>VLOOKUP(A6,'[1]11_CEIR'!B:L,10,0)</f>
        <v>0</v>
      </c>
      <c r="M6" s="8">
        <f>VLOOKUP(A6,'[1]12_EPROSEC'!B:H,4,0)</f>
        <v>100</v>
      </c>
      <c r="N6" s="8">
        <f>VLOOKUP(A6,'[1]13_FIR_CS_COURT'!B:L,11,0)</f>
        <v>52.463119072708118</v>
      </c>
      <c r="O6" s="8">
        <f>VLOOKUP(A6,'[1]14_EOFFICE'!B:K,9,0)</f>
        <v>0</v>
      </c>
      <c r="P6" s="8">
        <f>VLOOKUP(A6,'[1]15_APOLIS'!B:K,10,0)</f>
        <v>91.666666666666657</v>
      </c>
      <c r="Q6" s="8">
        <f>VLOOKUP(A6,'[1]16_APOLICE_FP'!B:H,5,0)</f>
        <v>0</v>
      </c>
      <c r="R6" s="8">
        <f>VLOOKUP(A6,'[1]18_EDAR'!B:F,4,0)</f>
        <v>100</v>
      </c>
      <c r="S6" s="8">
        <f>VLOOKUP(A6,'[1]17_CCTV_360'!B:S,17,0)</f>
        <v>71.428571428571431</v>
      </c>
      <c r="T6" s="8">
        <f>VLOOKUP(A6,'[1]19_NEWS360AI'!B:D,2,0)</f>
        <v>0</v>
      </c>
      <c r="U6" s="8">
        <f>VLOOKUP(A6,'[1]20_eFSL'!B:F,4,0)</f>
        <v>100</v>
      </c>
      <c r="V6" s="8">
        <f>VLOOKUP(A6,'[1]21_UC3'!B:D,2,0)</f>
        <v>0</v>
      </c>
      <c r="W6" s="8">
        <f>VLOOKUP(A6,'[1]22_UC4'!B:D,3,0)</f>
        <v>0</v>
      </c>
    </row>
    <row r="7" spans="1:23" s="9" customFormat="1" ht="26.1" customHeight="1" x14ac:dyDescent="0.3">
      <c r="A7" s="7" t="s">
        <v>28</v>
      </c>
      <c r="B7" s="8">
        <f>VLOOKUP(A7,'[1]1_MEDLEAPR_PME'!B:H,6,0)</f>
        <v>100</v>
      </c>
      <c r="C7" s="8">
        <f>VLOOKUP(A7,'[1]2_MEDLEAPR_MLC'!B:I,6,0)</f>
        <v>100</v>
      </c>
      <c r="D7" s="8">
        <f>VLOOKUP(A7,'[1]3_NATGRID'!B:H,6,0)</f>
        <v>0</v>
      </c>
      <c r="E7" s="8">
        <f>VLOOKUP(A7,'[1]4_DGP_DASH'!B:E,3,0)</f>
        <v>100</v>
      </c>
      <c r="F7" s="8">
        <f>VLOOKUP(A7,'[1]5_CCTNS_TILL'!B:P,13,0)</f>
        <v>95.63</v>
      </c>
      <c r="G7" s="8">
        <f>VLOOKUP(A7,'[1]6_CCTNS_1_7'!B:P,13,0)</f>
        <v>100</v>
      </c>
      <c r="H7" s="8">
        <f>VLOOKUP(A7,'[1]7_CCTNS_8_15'!B:M,11,0)</f>
        <v>0</v>
      </c>
      <c r="I7" s="8">
        <f>VLOOKUP(A7,'[1]8_ZERO_FIRS'!B:H,6,0)</f>
        <v>100</v>
      </c>
      <c r="J7" s="8">
        <f>VLOOKUP(A7,'[1]9_CITIZEN_PORTAL'!B:H,6,0)</f>
        <v>100</v>
      </c>
      <c r="K7" s="8">
        <f>VLOOKUP(A7,'[1]10_ESAKSHYA'!B:L,6,0)</f>
        <v>52.686308492201043</v>
      </c>
      <c r="L7" s="8">
        <f>VLOOKUP(A7,'[1]11_CEIR'!B:L,10,0)</f>
        <v>0</v>
      </c>
      <c r="M7" s="8">
        <f>VLOOKUP(A7,'[1]12_EPROSEC'!B:H,4,0)</f>
        <v>100</v>
      </c>
      <c r="N7" s="8">
        <f>VLOOKUP(A7,'[1]13_FIR_CS_COURT'!B:L,11,0)</f>
        <v>93.243243243243242</v>
      </c>
      <c r="O7" s="8">
        <f>VLOOKUP(A7,'[1]14_EOFFICE'!B:K,9,0)</f>
        <v>0</v>
      </c>
      <c r="P7" s="8">
        <f>VLOOKUP(A7,'[1]15_APOLIS'!B:K,10,0)</f>
        <v>91.176470588235304</v>
      </c>
      <c r="Q7" s="8">
        <f>VLOOKUP(A7,'[1]16_APOLICE_FP'!B:H,5,0)</f>
        <v>0</v>
      </c>
      <c r="R7" s="8">
        <f>VLOOKUP(A7,'[1]18_EDAR'!B:F,4,0)</f>
        <v>100</v>
      </c>
      <c r="S7" s="8">
        <f>VLOOKUP(A7,'[1]17_CCTV_360'!B:S,17,0)</f>
        <v>28.571428571428569</v>
      </c>
      <c r="T7" s="8">
        <f>VLOOKUP(A7,'[1]19_NEWS360AI'!B:D,2,0)</f>
        <v>0</v>
      </c>
      <c r="U7" s="8">
        <f>VLOOKUP(A7,'[1]20_eFSL'!B:F,4,0)</f>
        <v>100</v>
      </c>
      <c r="V7" s="8">
        <f>VLOOKUP(A7,'[1]21_UC3'!B:D,2,0)</f>
        <v>0</v>
      </c>
      <c r="W7" s="8">
        <f>VLOOKUP(A7,'[1]22_UC4'!B:D,3,0)</f>
        <v>0</v>
      </c>
    </row>
    <row r="8" spans="1:23" s="9" customFormat="1" ht="26.1" customHeight="1" x14ac:dyDescent="0.3">
      <c r="A8" s="7" t="s">
        <v>29</v>
      </c>
      <c r="B8" s="8">
        <f>VLOOKUP(A8,'[1]1_MEDLEAPR_PME'!B:H,6,0)</f>
        <v>100</v>
      </c>
      <c r="C8" s="8" t="str">
        <f>VLOOKUP(A8,'[1]2_MEDLEAPR_MLC'!B:I,6,0)</f>
        <v>100.00</v>
      </c>
      <c r="D8" s="8">
        <f>VLOOKUP(A8,'[1]3_NATGRID'!B:H,6,0)</f>
        <v>0</v>
      </c>
      <c r="E8" s="8">
        <f>VLOOKUP(A8,'[1]4_DGP_DASH'!B:E,3,0)</f>
        <v>100</v>
      </c>
      <c r="F8" s="8">
        <f>VLOOKUP(A8,'[1]5_CCTNS_TILL'!B:P,13,0)</f>
        <v>89.57</v>
      </c>
      <c r="G8" s="8">
        <f>VLOOKUP(A8,'[1]6_CCTNS_1_7'!B:P,13,0)</f>
        <v>81.83</v>
      </c>
      <c r="H8" s="8">
        <f>VLOOKUP(A8,'[1]7_CCTNS_8_15'!B:M,11,0)</f>
        <v>0</v>
      </c>
      <c r="I8" s="8">
        <f>VLOOKUP(A8,'[1]8_ZERO_FIRS'!B:H,6,0)</f>
        <v>100</v>
      </c>
      <c r="J8" s="8">
        <f>VLOOKUP(A8,'[1]9_CITIZEN_PORTAL'!B:H,6,0)</f>
        <v>100</v>
      </c>
      <c r="K8" s="8">
        <f>VLOOKUP(A8,'[1]10_ESAKSHYA'!B:L,6,0)</f>
        <v>97.368421052631575</v>
      </c>
      <c r="L8" s="8">
        <f>VLOOKUP(A8,'[1]11_CEIR'!B:L,10,0)</f>
        <v>0</v>
      </c>
      <c r="M8" s="8">
        <f>VLOOKUP(A8,'[1]12_EPROSEC'!B:H,4,0)</f>
        <v>50</v>
      </c>
      <c r="N8" s="8">
        <f>VLOOKUP(A8,'[1]13_FIR_CS_COURT'!B:L,11,0)</f>
        <v>100</v>
      </c>
      <c r="O8" s="8">
        <f>VLOOKUP(A8,'[1]14_EOFFICE'!B:K,9,0)</f>
        <v>0</v>
      </c>
      <c r="P8" s="8">
        <f>VLOOKUP(A8,'[1]15_APOLIS'!B:K,10,0)</f>
        <v>90</v>
      </c>
      <c r="Q8" s="8">
        <f>VLOOKUP(A8,'[1]16_APOLICE_FP'!B:H,5,0)</f>
        <v>0</v>
      </c>
      <c r="R8" s="8">
        <f>VLOOKUP(A8,'[1]18_EDAR'!B:F,4,0)</f>
        <v>100</v>
      </c>
      <c r="S8" s="8">
        <f>VLOOKUP(A8,'[1]17_CCTV_360'!B:S,17,0)</f>
        <v>35.714285714285715</v>
      </c>
      <c r="T8" s="8">
        <f>VLOOKUP(A8,'[1]19_NEWS360AI'!B:D,2,0)</f>
        <v>0</v>
      </c>
      <c r="U8" s="8">
        <f>VLOOKUP(A8,'[1]20_eFSL'!B:F,4,0)</f>
        <v>0</v>
      </c>
      <c r="V8" s="8">
        <f>VLOOKUP(A8,'[1]21_UC3'!B:D,2,0)</f>
        <v>0</v>
      </c>
      <c r="W8" s="8">
        <f>VLOOKUP(A8,'[1]22_UC4'!B:D,3,0)</f>
        <v>0</v>
      </c>
    </row>
    <row r="9" spans="1:23" s="9" customFormat="1" ht="26.1" customHeight="1" x14ac:dyDescent="0.3">
      <c r="A9" s="7" t="s">
        <v>30</v>
      </c>
      <c r="B9" s="8" t="str">
        <f>VLOOKUP(A9,'[1]1_MEDLEAPR_PME'!B:H,6,0)</f>
        <v>100.00</v>
      </c>
      <c r="C9" s="8" t="str">
        <f>VLOOKUP(A9,'[1]2_MEDLEAPR_MLC'!B:I,6,0)</f>
        <v>100.00</v>
      </c>
      <c r="D9" s="8">
        <f>VLOOKUP(A9,'[1]3_NATGRID'!B:H,6,0)</f>
        <v>0</v>
      </c>
      <c r="E9" s="8">
        <f>VLOOKUP(A9,'[1]4_DGP_DASH'!B:E,3,0)</f>
        <v>100</v>
      </c>
      <c r="F9" s="8">
        <f>VLOOKUP(A9,'[1]5_CCTNS_TILL'!B:P,13,0)</f>
        <v>100</v>
      </c>
      <c r="G9" s="8">
        <f>VLOOKUP(A9,'[1]6_CCTNS_1_7'!B:P,13,0)</f>
        <v>50</v>
      </c>
      <c r="H9" s="8">
        <f>VLOOKUP(A9,'[1]7_CCTNS_8_15'!B:M,11,0)</f>
        <v>0</v>
      </c>
      <c r="I9" s="8">
        <f>VLOOKUP(A9,'[1]8_ZERO_FIRS'!B:H,6,0)</f>
        <v>100</v>
      </c>
      <c r="J9" s="8">
        <f>VLOOKUP(A9,'[1]9_CITIZEN_PORTAL'!B:H,6,0)</f>
        <v>100</v>
      </c>
      <c r="K9" s="8">
        <f>VLOOKUP(A9,'[1]10_ESAKSHYA'!B:L,6,0)</f>
        <v>98.181818181818187</v>
      </c>
      <c r="L9" s="8">
        <f>VLOOKUP(A9,'[1]11_CEIR'!B:L,10,0)</f>
        <v>0</v>
      </c>
      <c r="M9" s="8">
        <f>VLOOKUP(A9,'[1]12_EPROSEC'!B:H,4,0)</f>
        <v>50</v>
      </c>
      <c r="N9" s="8">
        <f>VLOOKUP(A9,'[1]13_FIR_CS_COURT'!B:L,11,0)</f>
        <v>100</v>
      </c>
      <c r="O9" s="8">
        <f>VLOOKUP(A9,'[1]14_EOFFICE'!B:K,9,0)</f>
        <v>0</v>
      </c>
      <c r="P9" s="8">
        <f>VLOOKUP(A9,'[1]15_APOLIS'!B:K,10,0)</f>
        <v>88.888888888888886</v>
      </c>
      <c r="Q9" s="8">
        <f>VLOOKUP(A9,'[1]16_APOLICE_FP'!B:H,5,0)</f>
        <v>0</v>
      </c>
      <c r="R9" s="8">
        <f>VLOOKUP(A9,'[1]18_EDAR'!B:F,4,0)</f>
        <v>100</v>
      </c>
      <c r="S9" s="8">
        <f>VLOOKUP(A9,'[1]17_CCTV_360'!B:S,17,0)</f>
        <v>7.1428571428571423</v>
      </c>
      <c r="T9" s="8">
        <f>VLOOKUP(A9,'[1]19_NEWS360AI'!B:D,2,0)</f>
        <v>0</v>
      </c>
      <c r="U9" s="8">
        <f>VLOOKUP(A9,'[1]20_eFSL'!B:F,4,0)</f>
        <v>100</v>
      </c>
      <c r="V9" s="8">
        <f>VLOOKUP(A9,'[1]21_UC3'!B:D,2,0)</f>
        <v>0</v>
      </c>
      <c r="W9" s="8">
        <f>VLOOKUP(A9,'[1]22_UC4'!B:D,3,0)</f>
        <v>0</v>
      </c>
    </row>
    <row r="10" spans="1:23" s="9" customFormat="1" ht="26.1" customHeight="1" x14ac:dyDescent="0.3">
      <c r="A10" s="7" t="s">
        <v>31</v>
      </c>
      <c r="B10" s="8" t="str">
        <f>VLOOKUP(A10,'[1]1_MEDLEAPR_PME'!B:H,6,0)</f>
        <v>100.00</v>
      </c>
      <c r="C10" s="8">
        <f>VLOOKUP(A10,'[1]2_MEDLEAPR_MLC'!B:I,6,0)</f>
        <v>100</v>
      </c>
      <c r="D10" s="8">
        <f>VLOOKUP(A10,'[1]3_NATGRID'!B:H,6,0)</f>
        <v>0</v>
      </c>
      <c r="E10" s="8">
        <f>VLOOKUP(A10,'[1]4_DGP_DASH'!B:E,3,0)</f>
        <v>100</v>
      </c>
      <c r="F10" s="8">
        <f>VLOOKUP(A10,'[1]5_CCTNS_TILL'!B:P,13,0)</f>
        <v>93.88</v>
      </c>
      <c r="G10" s="8">
        <f>VLOOKUP(A10,'[1]6_CCTNS_1_7'!B:P,13,0)</f>
        <v>74.39</v>
      </c>
      <c r="H10" s="8">
        <f>VLOOKUP(A10,'[1]7_CCTNS_8_15'!B:M,11,0)</f>
        <v>0</v>
      </c>
      <c r="I10" s="8">
        <f>VLOOKUP(A10,'[1]8_ZERO_FIRS'!B:H,6,0)</f>
        <v>100</v>
      </c>
      <c r="J10" s="8">
        <f>VLOOKUP(A10,'[1]9_CITIZEN_PORTAL'!B:H,6,0)</f>
        <v>100</v>
      </c>
      <c r="K10" s="8">
        <f>VLOOKUP(A10,'[1]10_ESAKSHYA'!B:L,6,0)</f>
        <v>71.712538226299699</v>
      </c>
      <c r="L10" s="8">
        <f>VLOOKUP(A10,'[1]11_CEIR'!B:L,10,0)</f>
        <v>0</v>
      </c>
      <c r="M10" s="8">
        <f>VLOOKUP(A10,'[1]12_EPROSEC'!B:H,4,0)</f>
        <v>66.666666666666671</v>
      </c>
      <c r="N10" s="8">
        <f>VLOOKUP(A10,'[1]13_FIR_CS_COURT'!B:L,11,0)</f>
        <v>96.928104575163388</v>
      </c>
      <c r="O10" s="8">
        <f>VLOOKUP(A10,'[1]14_EOFFICE'!B:K,9,0)</f>
        <v>0</v>
      </c>
      <c r="P10" s="8">
        <f>VLOOKUP(A10,'[1]15_APOLIS'!B:K,10,0)</f>
        <v>90</v>
      </c>
      <c r="Q10" s="8">
        <f>VLOOKUP(A10,'[1]16_APOLICE_FP'!B:H,5,0)</f>
        <v>0</v>
      </c>
      <c r="R10" s="8">
        <f>VLOOKUP(A10,'[1]18_EDAR'!B:F,4,0)</f>
        <v>100</v>
      </c>
      <c r="S10" s="8">
        <f>VLOOKUP(A10,'[1]17_CCTV_360'!B:S,17,0)</f>
        <v>71.428571428571431</v>
      </c>
      <c r="T10" s="8">
        <f>VLOOKUP(A10,'[1]19_NEWS360AI'!B:D,2,0)</f>
        <v>0</v>
      </c>
      <c r="U10" s="8">
        <f>VLOOKUP(A10,'[1]20_eFSL'!B:F,4,0)</f>
        <v>100</v>
      </c>
      <c r="V10" s="8">
        <f>VLOOKUP(A10,'[1]21_UC3'!B:D,2,0)</f>
        <v>0</v>
      </c>
      <c r="W10" s="8">
        <f>VLOOKUP(A10,'[1]22_UC4'!B:D,3,0)</f>
        <v>0</v>
      </c>
    </row>
    <row r="11" spans="1:23" s="9" customFormat="1" ht="26.1" customHeight="1" x14ac:dyDescent="0.3">
      <c r="A11" s="7" t="s">
        <v>32</v>
      </c>
      <c r="B11" s="8" t="str">
        <f>VLOOKUP(A11,'[1]1_MEDLEAPR_PME'!B:H,6,0)</f>
        <v>100.00</v>
      </c>
      <c r="C11" s="8" t="str">
        <f>VLOOKUP(A11,'[1]2_MEDLEAPR_MLC'!B:I,6,0)</f>
        <v>100.00</v>
      </c>
      <c r="D11" s="8">
        <f>VLOOKUP(A11,'[1]3_NATGRID'!B:H,6,0)</f>
        <v>0</v>
      </c>
      <c r="E11" s="8">
        <f>VLOOKUP(A11,'[1]4_DGP_DASH'!B:E,3,0)</f>
        <v>100</v>
      </c>
      <c r="F11" s="8">
        <f>VLOOKUP(A11,'[1]5_CCTNS_TILL'!B:P,13,0)</f>
        <v>87.76</v>
      </c>
      <c r="G11" s="8">
        <f>VLOOKUP(A11,'[1]6_CCTNS_1_7'!B:P,13,0)</f>
        <v>50</v>
      </c>
      <c r="H11" s="8">
        <f>VLOOKUP(A11,'[1]7_CCTNS_8_15'!B:M,11,0)</f>
        <v>0</v>
      </c>
      <c r="I11" s="8">
        <f>VLOOKUP(A11,'[1]8_ZERO_FIRS'!B:H,6,0)</f>
        <v>100</v>
      </c>
      <c r="J11" s="8">
        <f>VLOOKUP(A11,'[1]9_CITIZEN_PORTAL'!B:H,6,0)</f>
        <v>100</v>
      </c>
      <c r="K11" s="8">
        <f>VLOOKUP(A11,'[1]10_ESAKSHYA'!B:L,6,0)</f>
        <v>85.31073446327683</v>
      </c>
      <c r="L11" s="8">
        <f>VLOOKUP(A11,'[1]11_CEIR'!B:L,10,0)</f>
        <v>0</v>
      </c>
      <c r="M11" s="8">
        <f>VLOOKUP(A11,'[1]12_EPROSEC'!B:H,4,0)</f>
        <v>100</v>
      </c>
      <c r="N11" s="8">
        <f>VLOOKUP(A11,'[1]13_FIR_CS_COURT'!B:L,11,0)</f>
        <v>100</v>
      </c>
      <c r="O11" s="8">
        <f>VLOOKUP(A11,'[1]14_EOFFICE'!B:K,9,0)</f>
        <v>0</v>
      </c>
      <c r="P11" s="8">
        <f>VLOOKUP(A11,'[1]15_APOLIS'!B:K,10,0)</f>
        <v>90</v>
      </c>
      <c r="Q11" s="8">
        <f>VLOOKUP(A11,'[1]16_APOLICE_FP'!B:H,5,0)</f>
        <v>0</v>
      </c>
      <c r="R11" s="8">
        <f>VLOOKUP(A11,'[1]18_EDAR'!B:F,4,0)</f>
        <v>100</v>
      </c>
      <c r="S11" s="8">
        <f>VLOOKUP(A11,'[1]17_CCTV_360'!B:S,17,0)</f>
        <v>14.285714285714285</v>
      </c>
      <c r="T11" s="8">
        <f>VLOOKUP(A11,'[1]19_NEWS360AI'!B:D,2,0)</f>
        <v>0</v>
      </c>
      <c r="U11" s="8">
        <f>VLOOKUP(A11,'[1]20_eFSL'!B:F,4,0)</f>
        <v>100</v>
      </c>
      <c r="V11" s="8">
        <f>VLOOKUP(A11,'[1]21_UC3'!B:D,2,0)</f>
        <v>0</v>
      </c>
      <c r="W11" s="8">
        <f>VLOOKUP(A11,'[1]22_UC4'!B:D,3,0)</f>
        <v>0</v>
      </c>
    </row>
    <row r="12" spans="1:23" s="9" customFormat="1" ht="26.1" customHeight="1" x14ac:dyDescent="0.3">
      <c r="A12" s="7" t="s">
        <v>33</v>
      </c>
      <c r="B12" s="8">
        <f>VLOOKUP(A12,'[1]1_MEDLEAPR_PME'!B:H,6,0)</f>
        <v>100</v>
      </c>
      <c r="C12" s="8" t="str">
        <f>VLOOKUP(A12,'[1]2_MEDLEAPR_MLC'!B:I,6,0)</f>
        <v>100.00</v>
      </c>
      <c r="D12" s="8">
        <f>VLOOKUP(A12,'[1]3_NATGRID'!B:H,6,0)</f>
        <v>0</v>
      </c>
      <c r="E12" s="8">
        <f>VLOOKUP(A12,'[1]4_DGP_DASH'!B:E,3,0)</f>
        <v>100</v>
      </c>
      <c r="F12" s="8">
        <f>VLOOKUP(A12,'[1]5_CCTNS_TILL'!B:P,13,0)</f>
        <v>100</v>
      </c>
      <c r="G12" s="8">
        <f>VLOOKUP(A12,'[1]6_CCTNS_1_7'!B:P,13,0)</f>
        <v>100</v>
      </c>
      <c r="H12" s="8">
        <f>VLOOKUP(A12,'[1]7_CCTNS_8_15'!B:M,11,0)</f>
        <v>0</v>
      </c>
      <c r="I12" s="8">
        <f>VLOOKUP(A12,'[1]8_ZERO_FIRS'!B:H,6,0)</f>
        <v>100</v>
      </c>
      <c r="J12" s="8">
        <f>VLOOKUP(A12,'[1]9_CITIZEN_PORTAL'!B:H,6,0)</f>
        <v>100</v>
      </c>
      <c r="K12" s="8">
        <f>VLOOKUP(A12,'[1]10_ESAKSHYA'!B:L,6,0)</f>
        <v>61.302681992337163</v>
      </c>
      <c r="L12" s="8">
        <f>VLOOKUP(A12,'[1]11_CEIR'!B:L,10,0)</f>
        <v>0</v>
      </c>
      <c r="M12" s="8">
        <f>VLOOKUP(A12,'[1]12_EPROSEC'!B:H,4,0)</f>
        <v>100</v>
      </c>
      <c r="N12" s="8">
        <f>VLOOKUP(A12,'[1]13_FIR_CS_COURT'!B:L,11,0)</f>
        <v>100</v>
      </c>
      <c r="O12" s="8">
        <f>VLOOKUP(A12,'[1]14_EOFFICE'!B:K,9,0)</f>
        <v>0</v>
      </c>
      <c r="P12" s="8">
        <f>VLOOKUP(A12,'[1]15_APOLIS'!B:K,10,0)</f>
        <v>90</v>
      </c>
      <c r="Q12" s="8">
        <f>VLOOKUP(A12,'[1]16_APOLICE_FP'!B:H,5,0)</f>
        <v>0</v>
      </c>
      <c r="R12" s="8">
        <f>VLOOKUP(A12,'[1]18_EDAR'!B:F,4,0)</f>
        <v>100</v>
      </c>
      <c r="S12" s="8">
        <f>VLOOKUP(A12,'[1]17_CCTV_360'!B:S,17,0)</f>
        <v>78.571428571428569</v>
      </c>
      <c r="T12" s="8">
        <f>VLOOKUP(A12,'[1]19_NEWS360AI'!B:D,2,0)</f>
        <v>0</v>
      </c>
      <c r="U12" s="8">
        <f>VLOOKUP(A12,'[1]20_eFSL'!B:F,4,0)</f>
        <v>0</v>
      </c>
      <c r="V12" s="8">
        <f>VLOOKUP(A12,'[1]21_UC3'!B:D,2,0)</f>
        <v>0</v>
      </c>
      <c r="W12" s="8">
        <f>VLOOKUP(A12,'[1]22_UC4'!B:D,3,0)</f>
        <v>0</v>
      </c>
    </row>
    <row r="13" spans="1:23" s="9" customFormat="1" ht="26.1" customHeight="1" x14ac:dyDescent="0.3">
      <c r="A13" s="7" t="s">
        <v>34</v>
      </c>
      <c r="B13" s="8" t="str">
        <f>VLOOKUP(A13,'[1]1_MEDLEAPR_PME'!B:H,6,0)</f>
        <v>100.00</v>
      </c>
      <c r="C13" s="8" t="str">
        <f>VLOOKUP(A13,'[1]2_MEDLEAPR_MLC'!B:I,6,0)</f>
        <v>100.00</v>
      </c>
      <c r="D13" s="8">
        <f>VLOOKUP(A13,'[1]3_NATGRID'!B:H,6,0)</f>
        <v>0</v>
      </c>
      <c r="E13" s="8">
        <f>VLOOKUP(A13,'[1]4_DGP_DASH'!B:E,3,0)</f>
        <v>100</v>
      </c>
      <c r="F13" s="8">
        <f>VLOOKUP(A13,'[1]5_CCTNS_TILL'!B:P,13,0)</f>
        <v>88.83</v>
      </c>
      <c r="G13" s="8">
        <f>VLOOKUP(A13,'[1]6_CCTNS_1_7'!B:P,13,0)</f>
        <v>50</v>
      </c>
      <c r="H13" s="8">
        <f>VLOOKUP(A13,'[1]7_CCTNS_8_15'!B:M,11,0)</f>
        <v>0</v>
      </c>
      <c r="I13" s="8">
        <f>VLOOKUP(A13,'[1]8_ZERO_FIRS'!B:H,6,0)</f>
        <v>100</v>
      </c>
      <c r="J13" s="8">
        <f>VLOOKUP(A13,'[1]9_CITIZEN_PORTAL'!B:H,6,0)</f>
        <v>100</v>
      </c>
      <c r="K13" s="8">
        <f>VLOOKUP(A13,'[1]10_ESAKSHYA'!B:L,6,0)</f>
        <v>89.325842696629209</v>
      </c>
      <c r="L13" s="8">
        <f>VLOOKUP(A13,'[1]11_CEIR'!B:L,10,0)</f>
        <v>0</v>
      </c>
      <c r="M13" s="8">
        <f>VLOOKUP(A13,'[1]12_EPROSEC'!B:H,4,0)</f>
        <v>0</v>
      </c>
      <c r="N13" s="8">
        <f>VLOOKUP(A13,'[1]13_FIR_CS_COURT'!B:L,11,0)</f>
        <v>95.833333333333343</v>
      </c>
      <c r="O13" s="8">
        <f>VLOOKUP(A13,'[1]14_EOFFICE'!B:K,9,0)</f>
        <v>0</v>
      </c>
      <c r="P13" s="8">
        <f>VLOOKUP(A13,'[1]15_APOLIS'!B:K,10,0)</f>
        <v>87.5</v>
      </c>
      <c r="Q13" s="8">
        <f>VLOOKUP(A13,'[1]16_APOLICE_FP'!B:H,5,0)</f>
        <v>0</v>
      </c>
      <c r="R13" s="8">
        <f>VLOOKUP(A13,'[1]18_EDAR'!B:F,4,0)</f>
        <v>100</v>
      </c>
      <c r="S13" s="8">
        <f>VLOOKUP(A13,'[1]17_CCTV_360'!B:S,17,0)</f>
        <v>7.1428571428571423</v>
      </c>
      <c r="T13" s="8">
        <f>VLOOKUP(A13,'[1]19_NEWS360AI'!B:D,2,0)</f>
        <v>0</v>
      </c>
      <c r="U13" s="8">
        <f>VLOOKUP(A13,'[1]20_eFSL'!B:F,4,0)</f>
        <v>100</v>
      </c>
      <c r="V13" s="8">
        <f>VLOOKUP(A13,'[1]21_UC3'!B:D,2,0)</f>
        <v>0</v>
      </c>
      <c r="W13" s="8">
        <f>VLOOKUP(A13,'[1]22_UC4'!B:D,3,0)</f>
        <v>0</v>
      </c>
    </row>
    <row r="14" spans="1:23" s="9" customFormat="1" ht="26.1" customHeight="1" x14ac:dyDescent="0.3">
      <c r="A14" s="7" t="s">
        <v>35</v>
      </c>
      <c r="B14" s="8">
        <f>VLOOKUP(A14,'[1]1_MEDLEAPR_PME'!B:H,6,0)</f>
        <v>100</v>
      </c>
      <c r="C14" s="8" t="str">
        <f>VLOOKUP(A14,'[1]2_MEDLEAPR_MLC'!B:I,6,0)</f>
        <v>100.00</v>
      </c>
      <c r="D14" s="8">
        <f>VLOOKUP(A14,'[1]3_NATGRID'!B:H,6,0)</f>
        <v>0</v>
      </c>
      <c r="E14" s="8">
        <f>VLOOKUP(A14,'[1]4_DGP_DASH'!B:E,3,0)</f>
        <v>100</v>
      </c>
      <c r="F14" s="8">
        <f>VLOOKUP(A14,'[1]5_CCTNS_TILL'!B:P,13,0)</f>
        <v>100</v>
      </c>
      <c r="G14" s="8">
        <f>VLOOKUP(A14,'[1]6_CCTNS_1_7'!B:P,13,0)</f>
        <v>100</v>
      </c>
      <c r="H14" s="8">
        <f>VLOOKUP(A14,'[1]7_CCTNS_8_15'!B:M,11,0)</f>
        <v>0</v>
      </c>
      <c r="I14" s="8">
        <f>VLOOKUP(A14,'[1]8_ZERO_FIRS'!B:H,6,0)</f>
        <v>100</v>
      </c>
      <c r="J14" s="8">
        <f>VLOOKUP(A14,'[1]9_CITIZEN_PORTAL'!B:H,6,0)</f>
        <v>100</v>
      </c>
      <c r="K14" s="8">
        <f>VLOOKUP(A14,'[1]10_ESAKSHYA'!B:L,6,0)</f>
        <v>73.913043478260875</v>
      </c>
      <c r="L14" s="8">
        <f>VLOOKUP(A14,'[1]11_CEIR'!B:L,10,0)</f>
        <v>0</v>
      </c>
      <c r="M14" s="8">
        <f>VLOOKUP(A14,'[1]12_EPROSEC'!B:H,4,0)</f>
        <v>0</v>
      </c>
      <c r="N14" s="8">
        <f>VLOOKUP(A14,'[1]13_FIR_CS_COURT'!B:L,11,0)</f>
        <v>92.857142857142861</v>
      </c>
      <c r="O14" s="8">
        <f>VLOOKUP(A14,'[1]14_EOFFICE'!B:K,9,0)</f>
        <v>0</v>
      </c>
      <c r="P14" s="8">
        <f>VLOOKUP(A14,'[1]15_APOLIS'!B:K,10,0)</f>
        <v>90</v>
      </c>
      <c r="Q14" s="8">
        <f>VLOOKUP(A14,'[1]16_APOLICE_FP'!B:H,5,0)</f>
        <v>0</v>
      </c>
      <c r="R14" s="8">
        <f>VLOOKUP(A14,'[1]18_EDAR'!B:F,4,0)</f>
        <v>100</v>
      </c>
      <c r="S14" s="8">
        <f>VLOOKUP(A14,'[1]17_CCTV_360'!B:S,17,0)</f>
        <v>7.1428571428571423</v>
      </c>
      <c r="T14" s="8">
        <f>VLOOKUP(A14,'[1]19_NEWS360AI'!B:D,2,0)</f>
        <v>0</v>
      </c>
      <c r="U14" s="8">
        <f>VLOOKUP(A14,'[1]20_eFSL'!B:F,4,0)</f>
        <v>0</v>
      </c>
      <c r="V14" s="8">
        <f>VLOOKUP(A14,'[1]21_UC3'!B:D,2,0)</f>
        <v>0</v>
      </c>
      <c r="W14" s="8">
        <f>VLOOKUP(A14,'[1]22_UC4'!B:D,3,0)</f>
        <v>0</v>
      </c>
    </row>
    <row r="15" spans="1:23" s="9" customFormat="1" ht="26.1" customHeight="1" x14ac:dyDescent="0.3">
      <c r="A15" s="7" t="s">
        <v>36</v>
      </c>
      <c r="B15" s="8" t="str">
        <f>VLOOKUP(A15,'[1]1_MEDLEAPR_PME'!B:H,6,0)</f>
        <v>100.00</v>
      </c>
      <c r="C15" s="8">
        <f>VLOOKUP(A15,'[1]2_MEDLEAPR_MLC'!B:I,6,0)</f>
        <v>100</v>
      </c>
      <c r="D15" s="8">
        <f>VLOOKUP(A15,'[1]3_NATGRID'!B:H,6,0)</f>
        <v>0</v>
      </c>
      <c r="E15" s="8">
        <f>VLOOKUP(A15,'[1]4_DGP_DASH'!B:E,3,0)</f>
        <v>100</v>
      </c>
      <c r="F15" s="8">
        <f>VLOOKUP(A15,'[1]5_CCTNS_TILL'!B:P,13,0)</f>
        <v>99.5</v>
      </c>
      <c r="G15" s="8">
        <f>VLOOKUP(A15,'[1]6_CCTNS_1_7'!B:P,13,0)</f>
        <v>100</v>
      </c>
      <c r="H15" s="8">
        <f>VLOOKUP(A15,'[1]7_CCTNS_8_15'!B:M,11,0)</f>
        <v>0</v>
      </c>
      <c r="I15" s="8">
        <f>VLOOKUP(A15,'[1]8_ZERO_FIRS'!B:H,6,0)</f>
        <v>100</v>
      </c>
      <c r="J15" s="8">
        <f>VLOOKUP(A15,'[1]9_CITIZEN_PORTAL'!B:H,6,0)</f>
        <v>100</v>
      </c>
      <c r="K15" s="8">
        <f>VLOOKUP(A15,'[1]10_ESAKSHYA'!B:L,6,0)</f>
        <v>62.174578866768762</v>
      </c>
      <c r="L15" s="8">
        <f>VLOOKUP(A15,'[1]11_CEIR'!B:L,10,0)</f>
        <v>0</v>
      </c>
      <c r="M15" s="8">
        <f>VLOOKUP(A15,'[1]12_EPROSEC'!B:H,4,0)</f>
        <v>20</v>
      </c>
      <c r="N15" s="8">
        <f>VLOOKUP(A15,'[1]13_FIR_CS_COURT'!B:L,11,0)</f>
        <v>51.135295959912312</v>
      </c>
      <c r="O15" s="8">
        <f>VLOOKUP(A15,'[1]14_EOFFICE'!B:K,9,0)</f>
        <v>0</v>
      </c>
      <c r="P15" s="8">
        <f>VLOOKUP(A15,'[1]15_APOLIS'!B:K,10,0)</f>
        <v>90</v>
      </c>
      <c r="Q15" s="8">
        <f>VLOOKUP(A15,'[1]16_APOLICE_FP'!B:H,5,0)</f>
        <v>0</v>
      </c>
      <c r="R15" s="8">
        <f>VLOOKUP(A15,'[1]18_EDAR'!B:F,4,0)</f>
        <v>0</v>
      </c>
      <c r="S15" s="8">
        <f>VLOOKUP(A15,'[1]17_CCTV_360'!B:S,17,0)</f>
        <v>64.285714285714292</v>
      </c>
      <c r="T15" s="8">
        <f>VLOOKUP(A15,'[1]19_NEWS360AI'!B:D,2,0)</f>
        <v>0</v>
      </c>
      <c r="U15" s="8">
        <f>VLOOKUP(A15,'[1]20_eFSL'!B:F,4,0)</f>
        <v>100</v>
      </c>
      <c r="V15" s="8">
        <f>VLOOKUP(A15,'[1]21_UC3'!B:D,2,0)</f>
        <v>0</v>
      </c>
      <c r="W15" s="8">
        <f>VLOOKUP(A15,'[1]22_UC4'!B:D,3,0)</f>
        <v>0</v>
      </c>
    </row>
    <row r="16" spans="1:23" s="9" customFormat="1" ht="26.1" customHeight="1" x14ac:dyDescent="0.3">
      <c r="A16" s="7" t="s">
        <v>37</v>
      </c>
      <c r="B16" s="8" t="str">
        <f>VLOOKUP(A16,'[1]1_MEDLEAPR_PME'!B:H,6,0)</f>
        <v>100.00</v>
      </c>
      <c r="C16" s="8" t="str">
        <f>VLOOKUP(A16,'[1]2_MEDLEAPR_MLC'!B:I,6,0)</f>
        <v>100.00</v>
      </c>
      <c r="D16" s="8">
        <f>VLOOKUP(A16,'[1]3_NATGRID'!B:H,6,0)</f>
        <v>0</v>
      </c>
      <c r="E16" s="8">
        <f>VLOOKUP(A16,'[1]4_DGP_DASH'!B:E,3,0)</f>
        <v>100</v>
      </c>
      <c r="F16" s="8">
        <f>VLOOKUP(A16,'[1]5_CCTNS_TILL'!B:P,13,0)</f>
        <v>92.52</v>
      </c>
      <c r="G16" s="8">
        <f>VLOOKUP(A16,'[1]6_CCTNS_1_7'!B:P,13,0)</f>
        <v>50</v>
      </c>
      <c r="H16" s="8">
        <f>VLOOKUP(A16,'[1]7_CCTNS_8_15'!B:M,11,0)</f>
        <v>0</v>
      </c>
      <c r="I16" s="8">
        <f>VLOOKUP(A16,'[1]8_ZERO_FIRS'!B:H,6,0)</f>
        <v>100</v>
      </c>
      <c r="J16" s="8">
        <f>VLOOKUP(A16,'[1]9_CITIZEN_PORTAL'!B:H,6,0)</f>
        <v>100</v>
      </c>
      <c r="K16" s="8">
        <f>VLOOKUP(A16,'[1]10_ESAKSHYA'!B:L,6,0)</f>
        <v>100</v>
      </c>
      <c r="L16" s="8">
        <f>VLOOKUP(A16,'[1]11_CEIR'!B:L,10,0)</f>
        <v>0</v>
      </c>
      <c r="M16" s="8">
        <f>VLOOKUP(A16,'[1]12_EPROSEC'!B:H,4,0)</f>
        <v>50</v>
      </c>
      <c r="N16" s="8">
        <f>VLOOKUP(A16,'[1]13_FIR_CS_COURT'!B:L,11,0)</f>
        <v>100</v>
      </c>
      <c r="O16" s="8">
        <f>VLOOKUP(A16,'[1]14_EOFFICE'!B:K,9,0)</f>
        <v>0</v>
      </c>
      <c r="P16" s="8">
        <f>VLOOKUP(A16,'[1]15_APOLIS'!B:K,10,0)</f>
        <v>90</v>
      </c>
      <c r="Q16" s="8">
        <f>VLOOKUP(A16,'[1]16_APOLICE_FP'!B:H,5,0)</f>
        <v>0</v>
      </c>
      <c r="R16" s="8">
        <f>VLOOKUP(A16,'[1]18_EDAR'!B:F,4,0)</f>
        <v>100</v>
      </c>
      <c r="S16" s="8">
        <f>VLOOKUP(A16,'[1]17_CCTV_360'!B:S,17,0)</f>
        <v>100</v>
      </c>
      <c r="T16" s="8">
        <f>VLOOKUP(A16,'[1]19_NEWS360AI'!B:D,2,0)</f>
        <v>0</v>
      </c>
      <c r="U16" s="8">
        <f>VLOOKUP(A16,'[1]20_eFSL'!B:F,4,0)</f>
        <v>100</v>
      </c>
      <c r="V16" s="8">
        <f>VLOOKUP(A16,'[1]21_UC3'!B:D,2,0)</f>
        <v>0</v>
      </c>
      <c r="W16" s="8">
        <f>VLOOKUP(A16,'[1]22_UC4'!B:D,3,0)</f>
        <v>0</v>
      </c>
    </row>
    <row r="17" spans="1:23" s="9" customFormat="1" ht="26.1" customHeight="1" x14ac:dyDescent="0.3">
      <c r="A17" s="7" t="s">
        <v>38</v>
      </c>
      <c r="B17" s="8" t="str">
        <f>VLOOKUP(A17,'[1]1_MEDLEAPR_PME'!B:H,6,0)</f>
        <v>100.00</v>
      </c>
      <c r="C17" s="8">
        <f>VLOOKUP(A17,'[1]2_MEDLEAPR_MLC'!B:I,6,0)</f>
        <v>100</v>
      </c>
      <c r="D17" s="8">
        <f>VLOOKUP(A17,'[1]3_NATGRID'!B:H,6,0)</f>
        <v>0</v>
      </c>
      <c r="E17" s="8">
        <f>VLOOKUP(A17,'[1]4_DGP_DASH'!B:E,3,0)</f>
        <v>100</v>
      </c>
      <c r="F17" s="8">
        <f>VLOOKUP(A17,'[1]5_CCTNS_TILL'!B:P,13,0)</f>
        <v>96.81</v>
      </c>
      <c r="G17" s="8">
        <f>VLOOKUP(A17,'[1]6_CCTNS_1_7'!B:P,13,0)</f>
        <v>22.32</v>
      </c>
      <c r="H17" s="8">
        <f>VLOOKUP(A17,'[1]7_CCTNS_8_15'!B:M,11,0)</f>
        <v>0</v>
      </c>
      <c r="I17" s="8">
        <f>VLOOKUP(A17,'[1]8_ZERO_FIRS'!B:H,6,0)</f>
        <v>100</v>
      </c>
      <c r="J17" s="8">
        <f>VLOOKUP(A17,'[1]9_CITIZEN_PORTAL'!B:H,6,0)</f>
        <v>100</v>
      </c>
      <c r="K17" s="8">
        <f>VLOOKUP(A17,'[1]10_ESAKSHYA'!B:L,6,0)</f>
        <v>51.308900523560212</v>
      </c>
      <c r="L17" s="8">
        <f>VLOOKUP(A17,'[1]11_CEIR'!B:L,10,0)</f>
        <v>0</v>
      </c>
      <c r="M17" s="8">
        <f>VLOOKUP(A17,'[1]12_EPROSEC'!B:H,4,0)</f>
        <v>0</v>
      </c>
      <c r="N17" s="8">
        <f>VLOOKUP(A17,'[1]13_FIR_CS_COURT'!B:L,11,0)</f>
        <v>100</v>
      </c>
      <c r="O17" s="8">
        <f>VLOOKUP(A17,'[1]14_EOFFICE'!B:K,9,0)</f>
        <v>0</v>
      </c>
      <c r="P17" s="8">
        <f>VLOOKUP(A17,'[1]15_APOLIS'!B:K,10,0)</f>
        <v>87.5</v>
      </c>
      <c r="Q17" s="8">
        <f>VLOOKUP(A17,'[1]16_APOLICE_FP'!B:H,5,0)</f>
        <v>0</v>
      </c>
      <c r="R17" s="8">
        <f>VLOOKUP(A17,'[1]18_EDAR'!B:F,4,0)</f>
        <v>100</v>
      </c>
      <c r="S17" s="8">
        <f>VLOOKUP(A17,'[1]17_CCTV_360'!B:S,17,0)</f>
        <v>0</v>
      </c>
      <c r="T17" s="8">
        <f>VLOOKUP(A17,'[1]19_NEWS360AI'!B:D,2,0)</f>
        <v>0</v>
      </c>
      <c r="U17" s="8">
        <f>VLOOKUP(A17,'[1]20_eFSL'!B:F,4,0)</f>
        <v>100</v>
      </c>
      <c r="V17" s="8">
        <f>VLOOKUP(A17,'[1]21_UC3'!B:D,2,0)</f>
        <v>0</v>
      </c>
      <c r="W17" s="8">
        <f>VLOOKUP(A17,'[1]22_UC4'!B:D,3,0)</f>
        <v>0</v>
      </c>
    </row>
    <row r="18" spans="1:23" s="9" customFormat="1" ht="26.1" customHeight="1" x14ac:dyDescent="0.3">
      <c r="A18" s="7" t="s">
        <v>39</v>
      </c>
      <c r="B18" s="8" t="str">
        <f>VLOOKUP(A18,'[1]1_MEDLEAPR_PME'!B:H,6,0)</f>
        <v>100.00</v>
      </c>
      <c r="C18" s="8" t="str">
        <f>VLOOKUP(A18,'[1]2_MEDLEAPR_MLC'!B:I,6,0)</f>
        <v>100.00</v>
      </c>
      <c r="D18" s="8">
        <f>VLOOKUP(A18,'[1]3_NATGRID'!B:H,6,0)</f>
        <v>0</v>
      </c>
      <c r="E18" s="8">
        <f>VLOOKUP(A18,'[1]4_DGP_DASH'!B:E,3,0)</f>
        <v>100</v>
      </c>
      <c r="F18" s="8">
        <f>VLOOKUP(A18,'[1]5_CCTNS_TILL'!B:P,13,0)</f>
        <v>100</v>
      </c>
      <c r="G18" s="8">
        <f>VLOOKUP(A18,'[1]6_CCTNS_1_7'!B:P,13,0)</f>
        <v>100</v>
      </c>
      <c r="H18" s="8">
        <f>VLOOKUP(A18,'[1]7_CCTNS_8_15'!B:M,11,0)</f>
        <v>0</v>
      </c>
      <c r="I18" s="8">
        <f>VLOOKUP(A18,'[1]8_ZERO_FIRS'!B:H,6,0)</f>
        <v>100</v>
      </c>
      <c r="J18" s="8">
        <f>VLOOKUP(A18,'[1]9_CITIZEN_PORTAL'!B:H,6,0)</f>
        <v>100</v>
      </c>
      <c r="K18" s="8">
        <f>VLOOKUP(A18,'[1]10_ESAKSHYA'!B:L,6,0)</f>
        <v>34.042553191489361</v>
      </c>
      <c r="L18" s="8">
        <f>VLOOKUP(A18,'[1]11_CEIR'!B:L,10,0)</f>
        <v>0</v>
      </c>
      <c r="M18" s="8">
        <f>VLOOKUP(A18,'[1]12_EPROSEC'!B:H,4,0)</f>
        <v>100</v>
      </c>
      <c r="N18" s="8">
        <f>VLOOKUP(A18,'[1]13_FIR_CS_COURT'!B:L,11,0)</f>
        <v>56.756756756756758</v>
      </c>
      <c r="O18" s="8">
        <f>VLOOKUP(A18,'[1]14_EOFFICE'!B:K,9,0)</f>
        <v>0</v>
      </c>
      <c r="P18" s="8">
        <f>VLOOKUP(A18,'[1]15_APOLIS'!B:K,10,0)</f>
        <v>91.666666666666671</v>
      </c>
      <c r="Q18" s="8">
        <f>VLOOKUP(A18,'[1]16_APOLICE_FP'!B:H,5,0)</f>
        <v>0</v>
      </c>
      <c r="R18" s="8">
        <f>VLOOKUP(A18,'[1]18_EDAR'!B:F,4,0)</f>
        <v>100</v>
      </c>
      <c r="S18" s="8">
        <f>VLOOKUP(A18,'[1]17_CCTV_360'!B:S,17,0)</f>
        <v>0</v>
      </c>
      <c r="T18" s="8">
        <f>VLOOKUP(A18,'[1]19_NEWS360AI'!B:D,2,0)</f>
        <v>0</v>
      </c>
      <c r="U18" s="8">
        <f>VLOOKUP(A18,'[1]20_eFSL'!B:F,4,0)</f>
        <v>100</v>
      </c>
      <c r="V18" s="8">
        <f>VLOOKUP(A18,'[1]21_UC3'!B:D,2,0)</f>
        <v>0</v>
      </c>
      <c r="W18" s="8">
        <f>VLOOKUP(A18,'[1]22_UC4'!B:D,3,0)</f>
        <v>0</v>
      </c>
    </row>
    <row r="19" spans="1:23" s="9" customFormat="1" ht="26.1" customHeight="1" x14ac:dyDescent="0.3">
      <c r="A19" s="7" t="s">
        <v>40</v>
      </c>
      <c r="B19" s="8">
        <f>VLOOKUP(A19,'[1]1_MEDLEAPR_PME'!B:H,6,0)</f>
        <v>100</v>
      </c>
      <c r="C19" s="8" t="str">
        <f>VLOOKUP(A19,'[1]2_MEDLEAPR_MLC'!B:I,6,0)</f>
        <v>100.00</v>
      </c>
      <c r="D19" s="8">
        <f>VLOOKUP(A19,'[1]3_NATGRID'!B:H,6,0)</f>
        <v>0</v>
      </c>
      <c r="E19" s="8">
        <f>VLOOKUP(A19,'[1]4_DGP_DASH'!B:E,3,0)</f>
        <v>100</v>
      </c>
      <c r="F19" s="8">
        <f>VLOOKUP(A19,'[1]5_CCTNS_TILL'!B:P,13,0)</f>
        <v>99.98</v>
      </c>
      <c r="G19" s="8">
        <f>VLOOKUP(A19,'[1]6_CCTNS_1_7'!B:P,13,0)</f>
        <v>0</v>
      </c>
      <c r="H19" s="8">
        <f>VLOOKUP(A19,'[1]7_CCTNS_8_15'!B:M,11,0)</f>
        <v>0</v>
      </c>
      <c r="I19" s="8">
        <f>VLOOKUP(A19,'[1]8_ZERO_FIRS'!B:H,6,0)</f>
        <v>100</v>
      </c>
      <c r="J19" s="8">
        <f>VLOOKUP(A19,'[1]9_CITIZEN_PORTAL'!B:H,6,0)</f>
        <v>100</v>
      </c>
      <c r="K19" s="8">
        <f>VLOOKUP(A19,'[1]10_ESAKSHYA'!B:L,6,0)</f>
        <v>77.545691906005217</v>
      </c>
      <c r="L19" s="8">
        <f>VLOOKUP(A19,'[1]11_CEIR'!B:L,10,0)</f>
        <v>0</v>
      </c>
      <c r="M19" s="8">
        <f>VLOOKUP(A19,'[1]12_EPROSEC'!B:H,4,0)</f>
        <v>100</v>
      </c>
      <c r="N19" s="8">
        <f>VLOOKUP(A19,'[1]13_FIR_CS_COURT'!B:L,11,0)</f>
        <v>97.413793103448285</v>
      </c>
      <c r="O19" s="8">
        <f>VLOOKUP(A19,'[1]14_EOFFICE'!B:K,9,0)</f>
        <v>0</v>
      </c>
      <c r="P19" s="8">
        <f>VLOOKUP(A19,'[1]15_APOLIS'!B:K,10,0)</f>
        <v>91.666666666666657</v>
      </c>
      <c r="Q19" s="8">
        <f>VLOOKUP(A19,'[1]16_APOLICE_FP'!B:H,5,0)</f>
        <v>0</v>
      </c>
      <c r="R19" s="8">
        <f>VLOOKUP(A19,'[1]18_EDAR'!B:F,4,0)</f>
        <v>100</v>
      </c>
      <c r="S19" s="8">
        <f>VLOOKUP(A19,'[1]17_CCTV_360'!B:S,17,0)</f>
        <v>0</v>
      </c>
      <c r="T19" s="8">
        <f>VLOOKUP(A19,'[1]19_NEWS360AI'!B:D,2,0)</f>
        <v>0</v>
      </c>
      <c r="U19" s="8">
        <f>VLOOKUP(A19,'[1]20_eFSL'!B:F,4,0)</f>
        <v>0</v>
      </c>
      <c r="V19" s="8">
        <f>VLOOKUP(A19,'[1]21_UC3'!B:D,2,0)</f>
        <v>0</v>
      </c>
      <c r="W19" s="8">
        <f>VLOOKUP(A19,'[1]22_UC4'!B:D,3,0)</f>
        <v>0</v>
      </c>
    </row>
    <row r="20" spans="1:23" s="9" customFormat="1" ht="26.1" customHeight="1" x14ac:dyDescent="0.3">
      <c r="A20" s="7" t="s">
        <v>41</v>
      </c>
      <c r="B20" s="8" t="str">
        <f>VLOOKUP(A20,'[1]1_MEDLEAPR_PME'!B:H,6,0)</f>
        <v>100.00</v>
      </c>
      <c r="C20" s="8" t="str">
        <f>VLOOKUP(A20,'[1]2_MEDLEAPR_MLC'!B:I,6,0)</f>
        <v>100.00</v>
      </c>
      <c r="D20" s="8">
        <f>VLOOKUP(A20,'[1]3_NATGRID'!B:H,6,0)</f>
        <v>0</v>
      </c>
      <c r="E20" s="8">
        <f>VLOOKUP(A20,'[1]4_DGP_DASH'!B:E,3,0)</f>
        <v>100</v>
      </c>
      <c r="F20" s="8">
        <f>VLOOKUP(A20,'[1]5_CCTNS_TILL'!B:P,13,0)</f>
        <v>97.93</v>
      </c>
      <c r="G20" s="8">
        <f>VLOOKUP(A20,'[1]6_CCTNS_1_7'!B:P,13,0)</f>
        <v>9.92</v>
      </c>
      <c r="H20" s="8">
        <f>VLOOKUP(A20,'[1]7_CCTNS_8_15'!B:M,11,0)</f>
        <v>0</v>
      </c>
      <c r="I20" s="8">
        <f>VLOOKUP(A20,'[1]8_ZERO_FIRS'!B:H,6,0)</f>
        <v>100</v>
      </c>
      <c r="J20" s="8">
        <f>VLOOKUP(A20,'[1]9_CITIZEN_PORTAL'!B:H,6,0)</f>
        <v>100</v>
      </c>
      <c r="K20" s="8">
        <f>VLOOKUP(A20,'[1]10_ESAKSHYA'!B:L,6,0)</f>
        <v>52.336448598130843</v>
      </c>
      <c r="L20" s="8">
        <f>VLOOKUP(A20,'[1]11_CEIR'!B:L,10,0)</f>
        <v>0</v>
      </c>
      <c r="M20" s="8">
        <f>VLOOKUP(A20,'[1]12_EPROSEC'!B:H,4,0)</f>
        <v>100</v>
      </c>
      <c r="N20" s="8">
        <f>VLOOKUP(A20,'[1]13_FIR_CS_COURT'!B:L,11,0)</f>
        <v>51.567749160134383</v>
      </c>
      <c r="O20" s="8">
        <f>VLOOKUP(A20,'[1]14_EOFFICE'!B:K,9,0)</f>
        <v>0</v>
      </c>
      <c r="P20" s="8">
        <f>VLOOKUP(A20,'[1]15_APOLIS'!B:K,10,0)</f>
        <v>91.666666666666657</v>
      </c>
      <c r="Q20" s="8">
        <f>VLOOKUP(A20,'[1]16_APOLICE_FP'!B:H,5,0)</f>
        <v>0</v>
      </c>
      <c r="R20" s="8">
        <f>VLOOKUP(A20,'[1]18_EDAR'!B:F,4,0)</f>
        <v>100</v>
      </c>
      <c r="S20" s="8">
        <f>VLOOKUP(A20,'[1]17_CCTV_360'!B:S,17,0)</f>
        <v>71.428571428571431</v>
      </c>
      <c r="T20" s="8">
        <f>VLOOKUP(A20,'[1]19_NEWS360AI'!B:D,2,0)</f>
        <v>0</v>
      </c>
      <c r="U20" s="8">
        <f>VLOOKUP(A20,'[1]20_eFSL'!B:F,4,0)</f>
        <v>100</v>
      </c>
      <c r="V20" s="8">
        <f>VLOOKUP(A20,'[1]21_UC3'!B:D,2,0)</f>
        <v>0</v>
      </c>
      <c r="W20" s="8">
        <f>VLOOKUP(A20,'[1]22_UC4'!B:D,3,0)</f>
        <v>0</v>
      </c>
    </row>
    <row r="21" spans="1:23" s="9" customFormat="1" ht="26.1" customHeight="1" x14ac:dyDescent="0.3">
      <c r="A21" s="7" t="s">
        <v>42</v>
      </c>
      <c r="B21" s="8">
        <f>VLOOKUP(A21,'[1]1_MEDLEAPR_PME'!B:H,6,0)</f>
        <v>100</v>
      </c>
      <c r="C21" s="8">
        <f>VLOOKUP(A21,'[1]2_MEDLEAPR_MLC'!B:I,6,0)</f>
        <v>100</v>
      </c>
      <c r="D21" s="8">
        <f>VLOOKUP(A21,'[1]3_NATGRID'!B:H,6,0)</f>
        <v>0</v>
      </c>
      <c r="E21" s="8">
        <f>VLOOKUP(A21,'[1]4_DGP_DASH'!B:E,3,0)</f>
        <v>100</v>
      </c>
      <c r="F21" s="8">
        <f>VLOOKUP(A21,'[1]5_CCTNS_TILL'!B:P,13,0)</f>
        <v>100</v>
      </c>
      <c r="G21" s="8">
        <f>VLOOKUP(A21,'[1]6_CCTNS_1_7'!B:P,13,0)</f>
        <v>89.27</v>
      </c>
      <c r="H21" s="8">
        <f>VLOOKUP(A21,'[1]7_CCTNS_8_15'!B:M,11,0)</f>
        <v>0</v>
      </c>
      <c r="I21" s="8">
        <f>VLOOKUP(A21,'[1]8_ZERO_FIRS'!B:H,6,0)</f>
        <v>100</v>
      </c>
      <c r="J21" s="8">
        <f>VLOOKUP(A21,'[1]9_CITIZEN_PORTAL'!B:H,6,0)</f>
        <v>100</v>
      </c>
      <c r="K21" s="8">
        <f>VLOOKUP(A21,'[1]10_ESAKSHYA'!B:L,6,0)</f>
        <v>94.555353901996369</v>
      </c>
      <c r="L21" s="8">
        <f>VLOOKUP(A21,'[1]11_CEIR'!B:L,10,0)</f>
        <v>0</v>
      </c>
      <c r="M21" s="8">
        <f>VLOOKUP(A21,'[1]12_EPROSEC'!B:H,4,0)</f>
        <v>33.333333333333336</v>
      </c>
      <c r="N21" s="8">
        <f>VLOOKUP(A21,'[1]13_FIR_CS_COURT'!B:L,11,0)</f>
        <v>98.607142857142861</v>
      </c>
      <c r="O21" s="8">
        <f>VLOOKUP(A21,'[1]14_EOFFICE'!B:K,9,0)</f>
        <v>0</v>
      </c>
      <c r="P21" s="8">
        <f>VLOOKUP(A21,'[1]15_APOLIS'!B:K,10,0)</f>
        <v>90</v>
      </c>
      <c r="Q21" s="8">
        <f>VLOOKUP(A21,'[1]16_APOLICE_FP'!B:H,5,0)</f>
        <v>0</v>
      </c>
      <c r="R21" s="8">
        <f>VLOOKUP(A21,'[1]18_EDAR'!B:F,4,0)</f>
        <v>100</v>
      </c>
      <c r="S21" s="8">
        <f>VLOOKUP(A21,'[1]17_CCTV_360'!B:S,17,0)</f>
        <v>0</v>
      </c>
      <c r="T21" s="8">
        <f>VLOOKUP(A21,'[1]19_NEWS360AI'!B:D,2,0)</f>
        <v>0</v>
      </c>
      <c r="U21" s="8">
        <f>VLOOKUP(A21,'[1]20_eFSL'!B:F,4,0)</f>
        <v>100</v>
      </c>
      <c r="V21" s="8">
        <f>VLOOKUP(A21,'[1]21_UC3'!B:D,2,0)</f>
        <v>0</v>
      </c>
      <c r="W21" s="8">
        <f>VLOOKUP(A21,'[1]22_UC4'!B:D,3,0)</f>
        <v>0</v>
      </c>
    </row>
    <row r="22" spans="1:23" s="9" customFormat="1" ht="26.1" customHeight="1" x14ac:dyDescent="0.3">
      <c r="A22" s="7" t="s">
        <v>43</v>
      </c>
      <c r="B22" s="8" t="str">
        <f>VLOOKUP(A22,'[1]1_MEDLEAPR_PME'!B:H,6,0)</f>
        <v>100.00</v>
      </c>
      <c r="C22" s="8" t="str">
        <f>VLOOKUP(A22,'[1]2_MEDLEAPR_MLC'!B:I,6,0)</f>
        <v>100.00</v>
      </c>
      <c r="D22" s="8">
        <f>VLOOKUP(A22,'[1]3_NATGRID'!B:H,6,0)</f>
        <v>0</v>
      </c>
      <c r="E22" s="8">
        <f>VLOOKUP(A22,'[1]4_DGP_DASH'!B:E,3,0)</f>
        <v>100</v>
      </c>
      <c r="F22" s="8">
        <f>VLOOKUP(A22,'[1]5_CCTNS_TILL'!B:P,13,0)</f>
        <v>100</v>
      </c>
      <c r="G22" s="8">
        <f>VLOOKUP(A22,'[1]6_CCTNS_1_7'!B:P,13,0)</f>
        <v>74.39</v>
      </c>
      <c r="H22" s="8">
        <f>VLOOKUP(A22,'[1]7_CCTNS_8_15'!B:M,11,0)</f>
        <v>0</v>
      </c>
      <c r="I22" s="8">
        <f>VLOOKUP(A22,'[1]8_ZERO_FIRS'!B:H,6,0)</f>
        <v>100</v>
      </c>
      <c r="J22" s="8">
        <f>VLOOKUP(A22,'[1]9_CITIZEN_PORTAL'!B:H,6,0)</f>
        <v>100</v>
      </c>
      <c r="K22" s="8">
        <f>VLOOKUP(A22,'[1]10_ESAKSHYA'!B:L,6,0)</f>
        <v>71.171171171171167</v>
      </c>
      <c r="L22" s="8">
        <f>VLOOKUP(A22,'[1]11_CEIR'!B:L,10,0)</f>
        <v>0</v>
      </c>
      <c r="M22" s="8">
        <f>VLOOKUP(A22,'[1]12_EPROSEC'!B:H,4,0)</f>
        <v>100</v>
      </c>
      <c r="N22" s="8">
        <f>VLOOKUP(A22,'[1]13_FIR_CS_COURT'!B:L,11,0)</f>
        <v>100</v>
      </c>
      <c r="O22" s="8">
        <f>VLOOKUP(A22,'[1]14_EOFFICE'!B:K,9,0)</f>
        <v>0</v>
      </c>
      <c r="P22" s="8">
        <f>VLOOKUP(A22,'[1]15_APOLIS'!B:K,10,0)</f>
        <v>91.666666666666657</v>
      </c>
      <c r="Q22" s="8">
        <f>VLOOKUP(A22,'[1]16_APOLICE_FP'!B:H,5,0)</f>
        <v>0</v>
      </c>
      <c r="R22" s="8">
        <f>VLOOKUP(A22,'[1]18_EDAR'!B:F,4,0)</f>
        <v>100</v>
      </c>
      <c r="S22" s="8">
        <f>VLOOKUP(A22,'[1]17_CCTV_360'!B:S,17,0)</f>
        <v>0</v>
      </c>
      <c r="T22" s="8">
        <f>VLOOKUP(A22,'[1]19_NEWS360AI'!B:D,2,0)</f>
        <v>0</v>
      </c>
      <c r="U22" s="8">
        <f>VLOOKUP(A22,'[1]20_eFSL'!B:F,4,0)</f>
        <v>100</v>
      </c>
      <c r="V22" s="8">
        <f>VLOOKUP(A22,'[1]21_UC3'!B:D,2,0)</f>
        <v>0</v>
      </c>
      <c r="W22" s="8">
        <f>VLOOKUP(A22,'[1]22_UC4'!B:D,3,0)</f>
        <v>0</v>
      </c>
    </row>
    <row r="23" spans="1:23" s="9" customFormat="1" ht="26.1" customHeight="1" x14ac:dyDescent="0.3">
      <c r="A23" s="7" t="s">
        <v>44</v>
      </c>
      <c r="B23" s="8" t="str">
        <f>VLOOKUP(A23,'[1]1_MEDLEAPR_PME'!B:H,6,0)</f>
        <v>100.00</v>
      </c>
      <c r="C23" s="8" t="str">
        <f>VLOOKUP(A23,'[1]2_MEDLEAPR_MLC'!B:I,6,0)</f>
        <v>100.00</v>
      </c>
      <c r="D23" s="8">
        <f>VLOOKUP(A23,'[1]3_NATGRID'!B:H,6,0)</f>
        <v>0</v>
      </c>
      <c r="E23" s="8">
        <f>VLOOKUP(A23,'[1]4_DGP_DASH'!B:E,3,0)</f>
        <v>100</v>
      </c>
      <c r="F23" s="8">
        <f>VLOOKUP(A23,'[1]5_CCTNS_TILL'!B:P,13,0)</f>
        <v>84.28</v>
      </c>
      <c r="G23" s="8">
        <f>VLOOKUP(A23,'[1]6_CCTNS_1_7'!B:P,13,0)</f>
        <v>50</v>
      </c>
      <c r="H23" s="8">
        <f>VLOOKUP(A23,'[1]7_CCTNS_8_15'!B:M,11,0)</f>
        <v>0</v>
      </c>
      <c r="I23" s="8">
        <f>VLOOKUP(A23,'[1]8_ZERO_FIRS'!B:H,6,0)</f>
        <v>100</v>
      </c>
      <c r="J23" s="8">
        <f>VLOOKUP(A23,'[1]9_CITIZEN_PORTAL'!B:H,6,0)</f>
        <v>100</v>
      </c>
      <c r="K23" s="8">
        <f>VLOOKUP(A23,'[1]10_ESAKSHYA'!B:L,6,0)</f>
        <v>38.353413654618471</v>
      </c>
      <c r="L23" s="8">
        <f>VLOOKUP(A23,'[1]11_CEIR'!B:L,10,0)</f>
        <v>0</v>
      </c>
      <c r="M23" s="8">
        <f>VLOOKUP(A23,'[1]12_EPROSEC'!B:H,4,0)</f>
        <v>100</v>
      </c>
      <c r="N23" s="8">
        <f>VLOOKUP(A23,'[1]13_FIR_CS_COURT'!B:L,11,0)</f>
        <v>97.368421052631589</v>
      </c>
      <c r="O23" s="8">
        <f>VLOOKUP(A23,'[1]14_EOFFICE'!B:K,9,0)</f>
        <v>0</v>
      </c>
      <c r="P23" s="8">
        <f>VLOOKUP(A23,'[1]15_APOLIS'!B:K,10,0)</f>
        <v>92.592592592592595</v>
      </c>
      <c r="Q23" s="8">
        <f>VLOOKUP(A23,'[1]16_APOLICE_FP'!B:H,5,0)</f>
        <v>0</v>
      </c>
      <c r="R23" s="8">
        <f>VLOOKUP(A23,'[1]18_EDAR'!B:F,4,0)</f>
        <v>100</v>
      </c>
      <c r="S23" s="8">
        <f>VLOOKUP(A23,'[1]17_CCTV_360'!B:S,17,0)</f>
        <v>85.714285714285708</v>
      </c>
      <c r="T23" s="8">
        <f>VLOOKUP(A23,'[1]19_NEWS360AI'!B:D,2,0)</f>
        <v>0</v>
      </c>
      <c r="U23" s="8">
        <f>VLOOKUP(A23,'[1]20_eFSL'!B:F,4,0)</f>
        <v>100</v>
      </c>
      <c r="V23" s="8">
        <f>VLOOKUP(A23,'[1]21_UC3'!B:D,2,0)</f>
        <v>0</v>
      </c>
      <c r="W23" s="8">
        <f>VLOOKUP(A23,'[1]22_UC4'!B:D,3,0)</f>
        <v>0</v>
      </c>
    </row>
    <row r="24" spans="1:23" s="9" customFormat="1" ht="26.1" customHeight="1" x14ac:dyDescent="0.3">
      <c r="A24" s="7" t="s">
        <v>45</v>
      </c>
      <c r="B24" s="8" t="str">
        <f>VLOOKUP(A24,'[1]1_MEDLEAPR_PME'!B:H,6,0)</f>
        <v>100.00</v>
      </c>
      <c r="C24" s="8">
        <f>VLOOKUP(A24,'[1]2_MEDLEAPR_MLC'!B:I,6,0)</f>
        <v>100</v>
      </c>
      <c r="D24" s="8">
        <f>VLOOKUP(A24,'[1]3_NATGRID'!B:H,6,0)</f>
        <v>0</v>
      </c>
      <c r="E24" s="8">
        <f>VLOOKUP(A24,'[1]4_DGP_DASH'!B:E,3,0)</f>
        <v>100</v>
      </c>
      <c r="F24" s="8">
        <f>VLOOKUP(A24,'[1]5_CCTNS_TILL'!B:P,13,0)</f>
        <v>83.64</v>
      </c>
      <c r="G24" s="8">
        <f>VLOOKUP(A24,'[1]6_CCTNS_1_7'!B:P,13,0)</f>
        <v>74.39</v>
      </c>
      <c r="H24" s="8">
        <f>VLOOKUP(A24,'[1]7_CCTNS_8_15'!B:M,11,0)</f>
        <v>0</v>
      </c>
      <c r="I24" s="8">
        <f>VLOOKUP(A24,'[1]8_ZERO_FIRS'!B:H,6,0)</f>
        <v>100</v>
      </c>
      <c r="J24" s="8">
        <f>VLOOKUP(A24,'[1]9_CITIZEN_PORTAL'!B:H,6,0)</f>
        <v>100</v>
      </c>
      <c r="K24" s="8">
        <f>VLOOKUP(A24,'[1]10_ESAKSHYA'!B:L,6,0)</f>
        <v>43.87096774193548</v>
      </c>
      <c r="L24" s="8">
        <f>VLOOKUP(A24,'[1]11_CEIR'!B:L,10,0)</f>
        <v>0</v>
      </c>
      <c r="M24" s="8">
        <f>VLOOKUP(A24,'[1]12_EPROSEC'!B:H,4,0)</f>
        <v>14.285714285714286</v>
      </c>
      <c r="N24" s="8">
        <f>VLOOKUP(A24,'[1]13_FIR_CS_COURT'!B:L,11,0)</f>
        <v>100</v>
      </c>
      <c r="O24" s="8">
        <f>VLOOKUP(A24,'[1]14_EOFFICE'!B:K,9,0)</f>
        <v>0</v>
      </c>
      <c r="P24" s="8">
        <f>VLOOKUP(A24,'[1]15_APOLIS'!B:K,10,0)</f>
        <v>91.666666666666657</v>
      </c>
      <c r="Q24" s="8">
        <f>VLOOKUP(A24,'[1]16_APOLICE_FP'!B:H,5,0)</f>
        <v>0</v>
      </c>
      <c r="R24" s="8">
        <f>VLOOKUP(A24,'[1]18_EDAR'!B:F,4,0)</f>
        <v>100</v>
      </c>
      <c r="S24" s="8">
        <f>VLOOKUP(A24,'[1]17_CCTV_360'!B:S,17,0)</f>
        <v>64.285714285714292</v>
      </c>
      <c r="T24" s="8">
        <f>VLOOKUP(A24,'[1]19_NEWS360AI'!B:D,2,0)</f>
        <v>0</v>
      </c>
      <c r="U24" s="8">
        <f>VLOOKUP(A24,'[1]20_eFSL'!B:F,4,0)</f>
        <v>100</v>
      </c>
      <c r="V24" s="8">
        <f>VLOOKUP(A24,'[1]21_UC3'!B:D,2,0)</f>
        <v>0</v>
      </c>
      <c r="W24" s="8">
        <f>VLOOKUP(A24,'[1]22_UC4'!B:D,3,0)</f>
        <v>0</v>
      </c>
    </row>
    <row r="25" spans="1:23" s="9" customFormat="1" ht="26.1" customHeight="1" x14ac:dyDescent="0.3">
      <c r="A25" s="7" t="s">
        <v>46</v>
      </c>
      <c r="B25" s="8">
        <f>VLOOKUP(A25,'[1]1_MEDLEAPR_PME'!B:H,6,0)</f>
        <v>100</v>
      </c>
      <c r="C25" s="8">
        <f>VLOOKUP(A25,'[1]2_MEDLEAPR_MLC'!B:I,6,0)</f>
        <v>100</v>
      </c>
      <c r="D25" s="8">
        <f>VLOOKUP(A25,'[1]3_NATGRID'!B:H,6,0)</f>
        <v>0</v>
      </c>
      <c r="E25" s="8">
        <f>VLOOKUP(A25,'[1]4_DGP_DASH'!B:E,3,0)</f>
        <v>100</v>
      </c>
      <c r="F25" s="8">
        <f>VLOOKUP(A25,'[1]5_CCTNS_TILL'!B:P,13,0)</f>
        <v>100</v>
      </c>
      <c r="G25" s="8">
        <f>VLOOKUP(A25,'[1]6_CCTNS_1_7'!B:P,13,0)</f>
        <v>100</v>
      </c>
      <c r="H25" s="8">
        <f>VLOOKUP(A25,'[1]7_CCTNS_8_15'!B:M,11,0)</f>
        <v>0</v>
      </c>
      <c r="I25" s="8">
        <f>VLOOKUP(A25,'[1]8_ZERO_FIRS'!B:H,6,0)</f>
        <v>100</v>
      </c>
      <c r="J25" s="8">
        <f>VLOOKUP(A25,'[1]9_CITIZEN_PORTAL'!B:H,6,0)</f>
        <v>100</v>
      </c>
      <c r="K25" s="8">
        <f>VLOOKUP(A25,'[1]10_ESAKSHYA'!B:L,6,0)</f>
        <v>38.047559449311642</v>
      </c>
      <c r="L25" s="8">
        <f>VLOOKUP(A25,'[1]11_CEIR'!B:L,10,0)</f>
        <v>0</v>
      </c>
      <c r="M25" s="8">
        <f>VLOOKUP(A25,'[1]12_EPROSEC'!B:H,4,0)</f>
        <v>14.285714285714286</v>
      </c>
      <c r="N25" s="8">
        <f>VLOOKUP(A25,'[1]13_FIR_CS_COURT'!B:L,11,0)</f>
        <v>47.234104046242777</v>
      </c>
      <c r="O25" s="8">
        <f>VLOOKUP(A25,'[1]14_EOFFICE'!B:K,9,0)</f>
        <v>0</v>
      </c>
      <c r="P25" s="8">
        <f>VLOOKUP(A25,'[1]15_APOLIS'!B:K,10,0)</f>
        <v>93.243243243243242</v>
      </c>
      <c r="Q25" s="8">
        <f>VLOOKUP(A25,'[1]16_APOLICE_FP'!B:H,5,0)</f>
        <v>0</v>
      </c>
      <c r="R25" s="8">
        <f>VLOOKUP(A25,'[1]18_EDAR'!B:F,4,0)</f>
        <v>100</v>
      </c>
      <c r="S25" s="8">
        <f>VLOOKUP(A25,'[1]17_CCTV_360'!B:S,17,0)</f>
        <v>64.285714285714292</v>
      </c>
      <c r="T25" s="8">
        <f>VLOOKUP(A25,'[1]19_NEWS360AI'!B:D,2,0)</f>
        <v>0</v>
      </c>
      <c r="U25" s="8">
        <f>VLOOKUP(A25,'[1]20_eFSL'!B:F,4,0)</f>
        <v>100</v>
      </c>
      <c r="V25" s="8">
        <f>VLOOKUP(A25,'[1]21_UC3'!B:D,2,0)</f>
        <v>0</v>
      </c>
      <c r="W25" s="8">
        <f>VLOOKUP(A25,'[1]22_UC4'!B:D,3,0)</f>
        <v>0</v>
      </c>
    </row>
    <row r="26" spans="1:23" s="9" customFormat="1" ht="26.1" customHeight="1" x14ac:dyDescent="0.3">
      <c r="A26" s="7" t="s">
        <v>47</v>
      </c>
      <c r="B26" s="8">
        <f>VLOOKUP(A26,'[1]1_MEDLEAPR_PME'!B:H,6,0)</f>
        <v>100</v>
      </c>
      <c r="C26" s="8" t="str">
        <f>VLOOKUP(A26,'[1]2_MEDLEAPR_MLC'!B:I,6,0)</f>
        <v>100.00</v>
      </c>
      <c r="D26" s="8">
        <f>VLOOKUP(A26,'[1]3_NATGRID'!B:H,6,0)</f>
        <v>0</v>
      </c>
      <c r="E26" s="8">
        <f>VLOOKUP(A26,'[1]4_DGP_DASH'!B:E,3,0)</f>
        <v>100</v>
      </c>
      <c r="F26" s="8">
        <f>VLOOKUP(A26,'[1]5_CCTNS_TILL'!B:P,13,0)</f>
        <v>100</v>
      </c>
      <c r="G26" s="8">
        <f>VLOOKUP(A26,'[1]6_CCTNS_1_7'!B:P,13,0)</f>
        <v>100</v>
      </c>
      <c r="H26" s="8">
        <f>VLOOKUP(A26,'[1]7_CCTNS_8_15'!B:M,11,0)</f>
        <v>0</v>
      </c>
      <c r="I26" s="8">
        <f>VLOOKUP(A26,'[1]8_ZERO_FIRS'!B:H,6,0)</f>
        <v>100</v>
      </c>
      <c r="J26" s="8">
        <f>VLOOKUP(A26,'[1]9_CITIZEN_PORTAL'!B:H,6,0)</f>
        <v>100</v>
      </c>
      <c r="K26" s="8">
        <f>VLOOKUP(A26,'[1]10_ESAKSHYA'!B:L,6,0)</f>
        <v>80.131578947368425</v>
      </c>
      <c r="L26" s="8">
        <f>VLOOKUP(A26,'[1]11_CEIR'!B:L,10,0)</f>
        <v>0</v>
      </c>
      <c r="M26" s="8">
        <f>VLOOKUP(A26,'[1]12_EPROSEC'!B:H,4,0)</f>
        <v>100</v>
      </c>
      <c r="N26" s="8">
        <f>VLOOKUP(A26,'[1]13_FIR_CS_COURT'!B:L,11,0)</f>
        <v>96.794871794871796</v>
      </c>
      <c r="O26" s="8">
        <f>VLOOKUP(A26,'[1]14_EOFFICE'!B:K,9,0)</f>
        <v>0</v>
      </c>
      <c r="P26" s="8">
        <f>VLOOKUP(A26,'[1]15_APOLIS'!B:K,10,0)</f>
        <v>91.176470588235304</v>
      </c>
      <c r="Q26" s="8">
        <f>VLOOKUP(A26,'[1]16_APOLICE_FP'!B:H,5,0)</f>
        <v>0</v>
      </c>
      <c r="R26" s="8">
        <f>VLOOKUP(A26,'[1]18_EDAR'!B:F,4,0)</f>
        <v>100</v>
      </c>
      <c r="S26" s="8">
        <f>VLOOKUP(A26,'[1]17_CCTV_360'!B:S,17,0)</f>
        <v>85.714285714285708</v>
      </c>
      <c r="T26" s="8">
        <f>VLOOKUP(A26,'[1]19_NEWS360AI'!B:D,2,0)</f>
        <v>0</v>
      </c>
      <c r="U26" s="8">
        <f>VLOOKUP(A26,'[1]20_eFSL'!B:F,4,0)</f>
        <v>0</v>
      </c>
      <c r="V26" s="8">
        <f>VLOOKUP(A26,'[1]21_UC3'!B:D,2,0)</f>
        <v>0</v>
      </c>
      <c r="W26" s="8">
        <f>VLOOKUP(A26,'[1]22_UC4'!B:D,3,0)</f>
        <v>0</v>
      </c>
    </row>
    <row r="27" spans="1:23" s="9" customFormat="1" ht="26.1" customHeight="1" x14ac:dyDescent="0.3">
      <c r="A27" s="7" t="s">
        <v>48</v>
      </c>
      <c r="B27" s="8" t="str">
        <f>VLOOKUP(A27,'[1]1_MEDLEAPR_PME'!B:H,6,0)</f>
        <v>100.00</v>
      </c>
      <c r="C27" s="8" t="str">
        <f>VLOOKUP(A27,'[1]2_MEDLEAPR_MLC'!B:I,6,0)</f>
        <v>100.00</v>
      </c>
      <c r="D27" s="8">
        <f>VLOOKUP(A27,'[1]3_NATGRID'!B:H,6,0)</f>
        <v>0</v>
      </c>
      <c r="E27" s="8">
        <f>VLOOKUP(A27,'[1]4_DGP_DASH'!B:E,3,0)</f>
        <v>100</v>
      </c>
      <c r="F27" s="8">
        <f>VLOOKUP(A27,'[1]5_CCTNS_TILL'!B:P,13,0)</f>
        <v>100</v>
      </c>
      <c r="G27" s="8">
        <f>VLOOKUP(A27,'[1]6_CCTNS_1_7'!B:P,13,0)</f>
        <v>64.47</v>
      </c>
      <c r="H27" s="8">
        <f>VLOOKUP(A27,'[1]7_CCTNS_8_15'!B:M,11,0)</f>
        <v>0</v>
      </c>
      <c r="I27" s="8">
        <f>VLOOKUP(A27,'[1]8_ZERO_FIRS'!B:H,6,0)</f>
        <v>100</v>
      </c>
      <c r="J27" s="8">
        <f>VLOOKUP(A27,'[1]9_CITIZEN_PORTAL'!B:H,6,0)</f>
        <v>100</v>
      </c>
      <c r="K27" s="8">
        <f>VLOOKUP(A27,'[1]10_ESAKSHYA'!B:L,6,0)</f>
        <v>55.860349127182047</v>
      </c>
      <c r="L27" s="8">
        <f>VLOOKUP(A27,'[1]11_CEIR'!B:L,10,0)</f>
        <v>0</v>
      </c>
      <c r="M27" s="8">
        <f>VLOOKUP(A27,'[1]12_EPROSEC'!B:H,4,0)</f>
        <v>25</v>
      </c>
      <c r="N27" s="8">
        <f>VLOOKUP(A27,'[1]13_FIR_CS_COURT'!B:L,11,0)</f>
        <v>98.245614035087726</v>
      </c>
      <c r="O27" s="8">
        <f>VLOOKUP(A27,'[1]14_EOFFICE'!B:K,9,0)</f>
        <v>0</v>
      </c>
      <c r="P27" s="8">
        <f>VLOOKUP(A27,'[1]15_APOLIS'!B:K,10,0)</f>
        <v>92.857142857142861</v>
      </c>
      <c r="Q27" s="8">
        <f>VLOOKUP(A27,'[1]16_APOLICE_FP'!B:H,5,0)</f>
        <v>0</v>
      </c>
      <c r="R27" s="8">
        <f>VLOOKUP(A27,'[1]18_EDAR'!B:F,4,0)</f>
        <v>100</v>
      </c>
      <c r="S27" s="8">
        <f>VLOOKUP(A27,'[1]17_CCTV_360'!B:S,17,0)</f>
        <v>14.285714285714285</v>
      </c>
      <c r="T27" s="8">
        <f>VLOOKUP(A27,'[1]19_NEWS360AI'!B:D,2,0)</f>
        <v>0</v>
      </c>
      <c r="U27" s="8">
        <f>VLOOKUP(A27,'[1]20_eFSL'!B:F,4,0)</f>
        <v>0</v>
      </c>
      <c r="V27" s="8">
        <f>VLOOKUP(A27,'[1]21_UC3'!B:D,2,0)</f>
        <v>0</v>
      </c>
      <c r="W27" s="8">
        <f>VLOOKUP(A27,'[1]22_UC4'!B:D,3,0)</f>
        <v>0</v>
      </c>
    </row>
    <row r="28" spans="1:23" s="9" customFormat="1" ht="26.1" customHeight="1" x14ac:dyDescent="0.3">
      <c r="A28" s="7" t="s">
        <v>49</v>
      </c>
      <c r="B28" s="8" t="str">
        <f>VLOOKUP(A28,'[1]1_MEDLEAPR_PME'!B:H,6,0)</f>
        <v>100.00</v>
      </c>
      <c r="C28" s="8" t="str">
        <f>VLOOKUP(A28,'[1]2_MEDLEAPR_MLC'!B:I,6,0)</f>
        <v>100.00</v>
      </c>
      <c r="D28" s="8">
        <f>VLOOKUP(A28,'[1]3_NATGRID'!B:H,6,0)</f>
        <v>0</v>
      </c>
      <c r="E28" s="8">
        <f>VLOOKUP(A28,'[1]4_DGP_DASH'!B:E,3,0)</f>
        <v>100</v>
      </c>
      <c r="F28" s="8">
        <f>VLOOKUP(A28,'[1]5_CCTNS_TILL'!B:P,13,0)</f>
        <v>98.88</v>
      </c>
      <c r="G28" s="8">
        <f>VLOOKUP(A28,'[1]6_CCTNS_1_7'!B:P,13,0)</f>
        <v>74.39</v>
      </c>
      <c r="H28" s="8">
        <f>VLOOKUP(A28,'[1]7_CCTNS_8_15'!B:M,11,0)</f>
        <v>0</v>
      </c>
      <c r="I28" s="8">
        <f>VLOOKUP(A28,'[1]8_ZERO_FIRS'!B:H,6,0)</f>
        <v>100</v>
      </c>
      <c r="J28" s="8">
        <f>VLOOKUP(A28,'[1]9_CITIZEN_PORTAL'!B:H,6,0)</f>
        <v>100</v>
      </c>
      <c r="K28" s="8">
        <f>VLOOKUP(A28,'[1]10_ESAKSHYA'!B:L,6,0)</f>
        <v>93.11926605504587</v>
      </c>
      <c r="L28" s="8">
        <f>VLOOKUP(A28,'[1]11_CEIR'!B:L,10,0)</f>
        <v>0</v>
      </c>
      <c r="M28" s="8">
        <f>VLOOKUP(A28,'[1]12_EPROSEC'!B:H,4,0)</f>
        <v>0</v>
      </c>
      <c r="N28" s="8">
        <f>VLOOKUP(A28,'[1]13_FIR_CS_COURT'!B:L,11,0)</f>
        <v>100</v>
      </c>
      <c r="O28" s="8">
        <f>VLOOKUP(A28,'[1]14_EOFFICE'!B:K,9,0)</f>
        <v>0</v>
      </c>
      <c r="P28" s="8">
        <f>VLOOKUP(A28,'[1]15_APOLIS'!B:K,10,0)</f>
        <v>91.666666666666657</v>
      </c>
      <c r="Q28" s="8">
        <f>VLOOKUP(A28,'[1]16_APOLICE_FP'!B:H,5,0)</f>
        <v>0</v>
      </c>
      <c r="R28" s="8">
        <f>VLOOKUP(A28,'[1]18_EDAR'!B:F,4,0)</f>
        <v>100</v>
      </c>
      <c r="S28" s="8">
        <f>VLOOKUP(A28,'[1]17_CCTV_360'!B:S,17,0)</f>
        <v>0</v>
      </c>
      <c r="T28" s="8">
        <f>VLOOKUP(A28,'[1]19_NEWS360AI'!B:D,2,0)</f>
        <v>0</v>
      </c>
      <c r="U28" s="8">
        <f>VLOOKUP(A28,'[1]20_eFSL'!B:F,4,0)</f>
        <v>100</v>
      </c>
      <c r="V28" s="8">
        <f>VLOOKUP(A28,'[1]21_UC3'!B:D,2,0)</f>
        <v>0</v>
      </c>
      <c r="W28" s="8">
        <f>VLOOKUP(A28,'[1]22_UC4'!B:D,3,0)</f>
        <v>0</v>
      </c>
    </row>
    <row r="29" spans="1:23" s="9" customFormat="1" ht="26.1" customHeight="1" x14ac:dyDescent="0.3">
      <c r="A29" s="7" t="s">
        <v>50</v>
      </c>
      <c r="B29" s="8" t="str">
        <f>VLOOKUP(A29,'[1]1_MEDLEAPR_PME'!B:H,6,0)</f>
        <v>100.00</v>
      </c>
      <c r="C29" s="8" t="str">
        <f>VLOOKUP(A29,'[1]2_MEDLEAPR_MLC'!B:I,6,0)</f>
        <v>100.00</v>
      </c>
      <c r="D29" s="8">
        <f>VLOOKUP(A29,'[1]3_NATGRID'!B:H,6,0)</f>
        <v>0</v>
      </c>
      <c r="E29" s="8">
        <f>VLOOKUP(A29,'[1]4_DGP_DASH'!B:E,3,0)</f>
        <v>100</v>
      </c>
      <c r="F29" s="8">
        <f>VLOOKUP(A29,'[1]5_CCTNS_TILL'!B:P,13,0)</f>
        <v>91.26</v>
      </c>
      <c r="G29" s="8">
        <f>VLOOKUP(A29,'[1]6_CCTNS_1_7'!B:P,13,0)</f>
        <v>100</v>
      </c>
      <c r="H29" s="8">
        <f>VLOOKUP(A29,'[1]7_CCTNS_8_15'!B:M,11,0)</f>
        <v>0</v>
      </c>
      <c r="I29" s="8">
        <f>VLOOKUP(A29,'[1]8_ZERO_FIRS'!B:H,6,0)</f>
        <v>100</v>
      </c>
      <c r="J29" s="8">
        <f>VLOOKUP(A29,'[1]9_CITIZEN_PORTAL'!B:H,6,0)</f>
        <v>100</v>
      </c>
      <c r="K29" s="8">
        <f>VLOOKUP(A29,'[1]10_ESAKSHYA'!B:L,6,0)</f>
        <v>43.96551724137931</v>
      </c>
      <c r="L29" s="8">
        <f>VLOOKUP(A29,'[1]11_CEIR'!B:L,10,0)</f>
        <v>0</v>
      </c>
      <c r="M29" s="8">
        <f>VLOOKUP(A29,'[1]12_EPROSEC'!B:H,4,0)</f>
        <v>25</v>
      </c>
      <c r="N29" s="8">
        <f>VLOOKUP(A29,'[1]13_FIR_CS_COURT'!B:L,11,0)</f>
        <v>100</v>
      </c>
      <c r="O29" s="8">
        <f>VLOOKUP(A29,'[1]14_EOFFICE'!B:K,9,0)</f>
        <v>0</v>
      </c>
      <c r="P29" s="8">
        <f>VLOOKUP(A29,'[1]15_APOLIS'!B:K,10,0)</f>
        <v>91.666666666666657</v>
      </c>
      <c r="Q29" s="8">
        <f>VLOOKUP(A29,'[1]16_APOLICE_FP'!B:H,5,0)</f>
        <v>0</v>
      </c>
      <c r="R29" s="8">
        <f>VLOOKUP(A29,'[1]18_EDAR'!B:F,4,0)</f>
        <v>100</v>
      </c>
      <c r="S29" s="8">
        <f>VLOOKUP(A29,'[1]17_CCTV_360'!B:S,17,0)</f>
        <v>0</v>
      </c>
      <c r="T29" s="8">
        <f>VLOOKUP(A29,'[1]19_NEWS360AI'!B:D,2,0)</f>
        <v>0</v>
      </c>
      <c r="U29" s="8">
        <f>VLOOKUP(A29,'[1]20_eFSL'!B:F,4,0)</f>
        <v>100</v>
      </c>
      <c r="V29" s="8">
        <f>VLOOKUP(A29,'[1]21_UC3'!B:D,2,0)</f>
        <v>0</v>
      </c>
      <c r="W29" s="8">
        <f>VLOOKUP(A29,'[1]22_UC4'!B:D,3,0)</f>
        <v>0</v>
      </c>
    </row>
    <row r="30" spans="1:23" s="9" customFormat="1" ht="26.1" customHeight="1" x14ac:dyDescent="0.3">
      <c r="A30" s="7" t="s">
        <v>51</v>
      </c>
      <c r="B30" s="8" t="str">
        <f>VLOOKUP(A30,'[1]1_MEDLEAPR_PME'!B:H,6,0)</f>
        <v>100.00</v>
      </c>
      <c r="C30" s="8" t="str">
        <f>VLOOKUP(A30,'[1]2_MEDLEAPR_MLC'!B:I,6,0)</f>
        <v>100.00</v>
      </c>
      <c r="D30" s="8">
        <f>VLOOKUP(A30,'[1]3_NATGRID'!B:H,6,0)</f>
        <v>0</v>
      </c>
      <c r="E30" s="8">
        <f>VLOOKUP(A30,'[1]4_DGP_DASH'!B:E,3,0)</f>
        <v>100</v>
      </c>
      <c r="F30" s="8">
        <f>VLOOKUP(A30,'[1]5_CCTNS_TILL'!B:P,13,0)</f>
        <v>77.150000000000006</v>
      </c>
      <c r="G30" s="8">
        <f>VLOOKUP(A30,'[1]6_CCTNS_1_7'!B:P,13,0)</f>
        <v>79.349999999999994</v>
      </c>
      <c r="H30" s="8">
        <f>VLOOKUP(A30,'[1]7_CCTNS_8_15'!B:M,11,0)</f>
        <v>0</v>
      </c>
      <c r="I30" s="8">
        <f>VLOOKUP(A30,'[1]8_ZERO_FIRS'!B:H,6,0)</f>
        <v>100</v>
      </c>
      <c r="J30" s="8">
        <f>VLOOKUP(A30,'[1]9_CITIZEN_PORTAL'!B:H,6,0)</f>
        <v>100</v>
      </c>
      <c r="K30" s="8">
        <f>VLOOKUP(A30,'[1]10_ESAKSHYA'!B:L,6,0)</f>
        <v>72.376873661670231</v>
      </c>
      <c r="L30" s="8">
        <f>VLOOKUP(A30,'[1]11_CEIR'!B:L,10,0)</f>
        <v>0</v>
      </c>
      <c r="M30" s="8">
        <f>VLOOKUP(A30,'[1]12_EPROSEC'!B:H,4,0)</f>
        <v>25</v>
      </c>
      <c r="N30" s="8">
        <f>VLOOKUP(A30,'[1]13_FIR_CS_COURT'!B:L,11,0)</f>
        <v>98.75</v>
      </c>
      <c r="O30" s="8">
        <f>VLOOKUP(A30,'[1]14_EOFFICE'!B:K,9,0)</f>
        <v>0</v>
      </c>
      <c r="P30" s="8">
        <f>VLOOKUP(A30,'[1]15_APOLIS'!B:K,10,0)</f>
        <v>91.666666666666657</v>
      </c>
      <c r="Q30" s="8">
        <f>VLOOKUP(A30,'[1]16_APOLICE_FP'!B:H,5,0)</f>
        <v>0</v>
      </c>
      <c r="R30" s="8">
        <f>VLOOKUP(A30,'[1]18_EDAR'!B:F,4,0)</f>
        <v>100</v>
      </c>
      <c r="S30" s="8">
        <f>VLOOKUP(A30,'[1]17_CCTV_360'!B:S,17,0)</f>
        <v>50</v>
      </c>
      <c r="T30" s="8">
        <f>VLOOKUP(A30,'[1]19_NEWS360AI'!B:D,2,0)</f>
        <v>0</v>
      </c>
      <c r="U30" s="8">
        <f>VLOOKUP(A30,'[1]20_eFSL'!B:F,4,0)</f>
        <v>100</v>
      </c>
      <c r="V30" s="8">
        <f>VLOOKUP(A30,'[1]21_UC3'!B:D,2,0)</f>
        <v>0</v>
      </c>
      <c r="W30" s="8">
        <f>VLOOKUP(A30,'[1]22_UC4'!B:D,3,0)</f>
        <v>0</v>
      </c>
    </row>
    <row r="31" spans="1:23" s="9" customFormat="1" ht="26.1" customHeight="1" x14ac:dyDescent="0.3">
      <c r="A31" s="7" t="s">
        <v>52</v>
      </c>
      <c r="B31" s="8" t="str">
        <f>VLOOKUP(A31,'[1]1_MEDLEAPR_PME'!B:H,6,0)</f>
        <v>100.00</v>
      </c>
      <c r="C31" s="8">
        <f>VLOOKUP(A31,'[1]2_MEDLEAPR_MLC'!B:I,6,0)</f>
        <v>100</v>
      </c>
      <c r="D31" s="8">
        <f>VLOOKUP(A31,'[1]3_NATGRID'!B:H,6,0)</f>
        <v>0</v>
      </c>
      <c r="E31" s="8">
        <f>VLOOKUP(A31,'[1]4_DGP_DASH'!B:E,3,0)</f>
        <v>100</v>
      </c>
      <c r="F31" s="8">
        <f>VLOOKUP(A31,'[1]5_CCTNS_TILL'!B:P,13,0)</f>
        <v>91.65</v>
      </c>
      <c r="G31" s="8">
        <f>VLOOKUP(A31,'[1]6_CCTNS_1_7'!B:P,13,0)</f>
        <v>100</v>
      </c>
      <c r="H31" s="8">
        <f>VLOOKUP(A31,'[1]7_CCTNS_8_15'!B:M,11,0)</f>
        <v>0</v>
      </c>
      <c r="I31" s="8">
        <f>VLOOKUP(A31,'[1]8_ZERO_FIRS'!B:H,6,0)</f>
        <v>100</v>
      </c>
      <c r="J31" s="8">
        <f>VLOOKUP(A31,'[1]9_CITIZEN_PORTAL'!B:H,6,0)</f>
        <v>100</v>
      </c>
      <c r="K31" s="8">
        <f>VLOOKUP(A31,'[1]10_ESAKSHYA'!B:L,6,0)</f>
        <v>44.090056285178235</v>
      </c>
      <c r="L31" s="8">
        <f>VLOOKUP(A31,'[1]11_CEIR'!B:L,10,0)</f>
        <v>0</v>
      </c>
      <c r="M31" s="8">
        <f>VLOOKUP(A31,'[1]12_EPROSEC'!B:H,4,0)</f>
        <v>20</v>
      </c>
      <c r="N31" s="8">
        <f>VLOOKUP(A31,'[1]13_FIR_CS_COURT'!B:L,11,0)</f>
        <v>50.644438217988231</v>
      </c>
      <c r="O31" s="8">
        <f>VLOOKUP(A31,'[1]14_EOFFICE'!B:K,9,0)</f>
        <v>0</v>
      </c>
      <c r="P31" s="8">
        <f>VLOOKUP(A31,'[1]15_APOLIS'!B:K,10,0)</f>
        <v>91.071428571428569</v>
      </c>
      <c r="Q31" s="8">
        <f>VLOOKUP(A31,'[1]16_APOLICE_FP'!B:H,5,0)</f>
        <v>0</v>
      </c>
      <c r="R31" s="8">
        <f>VLOOKUP(A31,'[1]18_EDAR'!B:F,4,0)</f>
        <v>100</v>
      </c>
      <c r="S31" s="8">
        <f>VLOOKUP(A31,'[1]17_CCTV_360'!B:S,17,0)</f>
        <v>100</v>
      </c>
      <c r="T31" s="8">
        <f>VLOOKUP(A31,'[1]19_NEWS360AI'!B:D,2,0)</f>
        <v>0</v>
      </c>
      <c r="U31" s="8">
        <f>VLOOKUP(A31,'[1]20_eFSL'!B:F,4,0)</f>
        <v>100</v>
      </c>
      <c r="V31" s="8">
        <f>VLOOKUP(A31,'[1]21_UC3'!B:D,2,0)</f>
        <v>0</v>
      </c>
      <c r="W31" s="8">
        <f>VLOOKUP(A31,'[1]22_UC4'!B:D,3,0)</f>
        <v>0</v>
      </c>
    </row>
    <row r="32" spans="1:23" s="9" customFormat="1" ht="26.1" customHeight="1" x14ac:dyDescent="0.3">
      <c r="A32" s="7" t="s">
        <v>53</v>
      </c>
      <c r="B32" s="8" t="str">
        <f>VLOOKUP(A32,'[1]1_MEDLEAPR_PME'!B:H,6,0)</f>
        <v>100.00</v>
      </c>
      <c r="C32" s="8">
        <f>VLOOKUP(A32,'[1]2_MEDLEAPR_MLC'!B:I,6,0)</f>
        <v>100</v>
      </c>
      <c r="D32" s="8">
        <f>VLOOKUP(A32,'[1]3_NATGRID'!B:H,6,0)</f>
        <v>0</v>
      </c>
      <c r="E32" s="8">
        <f>VLOOKUP(A32,'[1]4_DGP_DASH'!B:E,3,0)</f>
        <v>100</v>
      </c>
      <c r="F32" s="8">
        <f>VLOOKUP(A32,'[1]5_CCTNS_TILL'!B:P,13,0)</f>
        <v>88.34</v>
      </c>
      <c r="G32" s="8">
        <f>VLOOKUP(A32,'[1]6_CCTNS_1_7'!B:P,13,0)</f>
        <v>89.27</v>
      </c>
      <c r="H32" s="8">
        <f>VLOOKUP(A32,'[1]7_CCTNS_8_15'!B:M,11,0)</f>
        <v>0</v>
      </c>
      <c r="I32" s="8">
        <f>VLOOKUP(A32,'[1]8_ZERO_FIRS'!B:H,6,0)</f>
        <v>100</v>
      </c>
      <c r="J32" s="8">
        <f>VLOOKUP(A32,'[1]9_CITIZEN_PORTAL'!B:H,6,0)</f>
        <v>100</v>
      </c>
      <c r="K32" s="8">
        <f>VLOOKUP(A32,'[1]10_ESAKSHYA'!B:L,6,0)</f>
        <v>92.901234567901241</v>
      </c>
      <c r="L32" s="8">
        <f>VLOOKUP(A32,'[1]11_CEIR'!B:L,10,0)</f>
        <v>0</v>
      </c>
      <c r="M32" s="8">
        <f>VLOOKUP(A32,'[1]12_EPROSEC'!B:H,4,0)</f>
        <v>100</v>
      </c>
      <c r="N32" s="8">
        <f>VLOOKUP(A32,'[1]13_FIR_CS_COURT'!B:L,11,0)</f>
        <v>94.73684210526315</v>
      </c>
      <c r="O32" s="8">
        <f>VLOOKUP(A32,'[1]14_EOFFICE'!B:K,9,0)</f>
        <v>0</v>
      </c>
      <c r="P32" s="8">
        <f>VLOOKUP(A32,'[1]15_APOLIS'!B:K,10,0)</f>
        <v>92.857142857142861</v>
      </c>
      <c r="Q32" s="8">
        <f>VLOOKUP(A32,'[1]16_APOLICE_FP'!B:H,5,0)</f>
        <v>0</v>
      </c>
      <c r="R32" s="8">
        <f>VLOOKUP(A32,'[1]18_EDAR'!B:F,4,0)</f>
        <v>100</v>
      </c>
      <c r="S32" s="8">
        <f>VLOOKUP(A32,'[1]17_CCTV_360'!B:S,17,0)</f>
        <v>28.571428571428569</v>
      </c>
      <c r="T32" s="8">
        <f>VLOOKUP(A32,'[1]19_NEWS360AI'!B:D,2,0)</f>
        <v>0</v>
      </c>
      <c r="U32" s="8">
        <f>VLOOKUP(A32,'[1]20_eFSL'!B:F,4,0)</f>
        <v>100</v>
      </c>
      <c r="V32" s="8">
        <f>VLOOKUP(A32,'[1]21_UC3'!B:D,2,0)</f>
        <v>0</v>
      </c>
      <c r="W32" s="8">
        <f>VLOOKUP(A32,'[1]22_UC4'!B:D,3,0)</f>
        <v>0</v>
      </c>
    </row>
    <row r="33" spans="1:23" s="9" customFormat="1" ht="26.1" customHeight="1" x14ac:dyDescent="0.3">
      <c r="A33" s="7" t="s">
        <v>54</v>
      </c>
      <c r="B33" s="8">
        <f>VLOOKUP(A33,'[1]1_MEDLEAPR_PME'!B:H,6,0)</f>
        <v>100</v>
      </c>
      <c r="C33" s="8" t="str">
        <f>VLOOKUP(A33,'[1]2_MEDLEAPR_MLC'!B:I,6,0)</f>
        <v>100.00</v>
      </c>
      <c r="D33" s="8">
        <f>VLOOKUP(A33,'[1]3_NATGRID'!B:H,6,0)</f>
        <v>0</v>
      </c>
      <c r="E33" s="8">
        <f>VLOOKUP(A33,'[1]4_DGP_DASH'!B:E,3,0)</f>
        <v>100</v>
      </c>
      <c r="F33" s="8">
        <f>VLOOKUP(A33,'[1]5_CCTNS_TILL'!B:P,13,0)</f>
        <v>100</v>
      </c>
      <c r="G33" s="8">
        <f>VLOOKUP(A33,'[1]6_CCTNS_1_7'!B:P,13,0)</f>
        <v>100</v>
      </c>
      <c r="H33" s="8">
        <f>VLOOKUP(A33,'[1]7_CCTNS_8_15'!B:M,11,0)</f>
        <v>0</v>
      </c>
      <c r="I33" s="8">
        <f>VLOOKUP(A33,'[1]8_ZERO_FIRS'!B:H,6,0)</f>
        <v>100</v>
      </c>
      <c r="J33" s="8">
        <f>VLOOKUP(A33,'[1]9_CITIZEN_PORTAL'!B:H,6,0)</f>
        <v>100</v>
      </c>
      <c r="K33" s="8">
        <f>VLOOKUP(A33,'[1]10_ESAKSHYA'!B:L,6,0)</f>
        <v>94.690265486725664</v>
      </c>
      <c r="L33" s="8">
        <f>VLOOKUP(A33,'[1]11_CEIR'!B:L,10,0)</f>
        <v>0</v>
      </c>
      <c r="M33" s="8">
        <f>VLOOKUP(A33,'[1]12_EPROSEC'!B:H,4,0)</f>
        <v>100</v>
      </c>
      <c r="N33" s="8">
        <f>VLOOKUP(A33,'[1]13_FIR_CS_COURT'!B:L,11,0)</f>
        <v>96.341463414634148</v>
      </c>
      <c r="O33" s="8">
        <f>VLOOKUP(A33,'[1]14_EOFFICE'!B:K,9,0)</f>
        <v>0</v>
      </c>
      <c r="P33" s="8">
        <f>VLOOKUP(A33,'[1]15_APOLIS'!B:K,10,0)</f>
        <v>90</v>
      </c>
      <c r="Q33" s="8">
        <f>VLOOKUP(A33,'[1]16_APOLICE_FP'!B:H,5,0)</f>
        <v>0</v>
      </c>
      <c r="R33" s="8">
        <f>VLOOKUP(A33,'[1]18_EDAR'!B:F,4,0)</f>
        <v>100</v>
      </c>
      <c r="S33" s="8">
        <f>VLOOKUP(A33,'[1]17_CCTV_360'!B:S,17,0)</f>
        <v>78.571428571428569</v>
      </c>
      <c r="T33" s="8">
        <f>VLOOKUP(A33,'[1]19_NEWS360AI'!B:D,2,0)</f>
        <v>0</v>
      </c>
      <c r="U33" s="8">
        <f>VLOOKUP(A33,'[1]20_eFSL'!B:F,4,0)</f>
        <v>100</v>
      </c>
      <c r="V33" s="8">
        <f>VLOOKUP(A33,'[1]21_UC3'!B:D,2,0)</f>
        <v>0</v>
      </c>
      <c r="W33" s="8">
        <f>VLOOKUP(A33,'[1]22_UC4'!B:D,3,0)</f>
        <v>0</v>
      </c>
    </row>
    <row r="34" spans="1:23" s="9" customFormat="1" ht="26.1" customHeight="1" x14ac:dyDescent="0.3">
      <c r="A34" s="7" t="s">
        <v>55</v>
      </c>
      <c r="B34" s="8">
        <f>VLOOKUP(A34,'[1]1_MEDLEAPR_PME'!B:H,6,0)</f>
        <v>100</v>
      </c>
      <c r="C34" s="8" t="str">
        <f>VLOOKUP(A34,'[1]2_MEDLEAPR_MLC'!B:I,6,0)</f>
        <v>100.00</v>
      </c>
      <c r="D34" s="8">
        <f>VLOOKUP(A34,'[1]3_NATGRID'!B:H,6,0)</f>
        <v>0</v>
      </c>
      <c r="E34" s="8">
        <f>VLOOKUP(A34,'[1]4_DGP_DASH'!B:E,3,0)</f>
        <v>100</v>
      </c>
      <c r="F34" s="8">
        <f>VLOOKUP(A34,'[1]5_CCTNS_TILL'!B:P,13,0)</f>
        <v>100</v>
      </c>
      <c r="G34" s="8">
        <f>VLOOKUP(A34,'[1]6_CCTNS_1_7'!B:P,13,0)</f>
        <v>89.27</v>
      </c>
      <c r="H34" s="8">
        <f>VLOOKUP(A34,'[1]7_CCTNS_8_15'!B:M,11,0)</f>
        <v>0</v>
      </c>
      <c r="I34" s="8">
        <f>VLOOKUP(A34,'[1]8_ZERO_FIRS'!B:H,6,0)</f>
        <v>100</v>
      </c>
      <c r="J34" s="8">
        <f>VLOOKUP(A34,'[1]9_CITIZEN_PORTAL'!B:H,6,0)</f>
        <v>100</v>
      </c>
      <c r="K34" s="8">
        <f>VLOOKUP(A34,'[1]10_ESAKSHYA'!B:L,6,0)</f>
        <v>81.496062992125985</v>
      </c>
      <c r="L34" s="8">
        <f>VLOOKUP(A34,'[1]11_CEIR'!B:L,10,0)</f>
        <v>0</v>
      </c>
      <c r="M34" s="8">
        <f>VLOOKUP(A34,'[1]12_EPROSEC'!B:H,4,0)</f>
        <v>0</v>
      </c>
      <c r="N34" s="8">
        <f>VLOOKUP(A34,'[1]13_FIR_CS_COURT'!B:L,11,0)</f>
        <v>100</v>
      </c>
      <c r="O34" s="8">
        <f>VLOOKUP(A34,'[1]14_EOFFICE'!B:K,9,0)</f>
        <v>0</v>
      </c>
      <c r="P34" s="8">
        <f>VLOOKUP(A34,'[1]15_APOLIS'!B:K,10,0)</f>
        <v>90</v>
      </c>
      <c r="Q34" s="8">
        <f>VLOOKUP(A34,'[1]16_APOLICE_FP'!B:H,5,0)</f>
        <v>0</v>
      </c>
      <c r="R34" s="8">
        <f>VLOOKUP(A34,'[1]18_EDAR'!B:F,4,0)</f>
        <v>100</v>
      </c>
      <c r="S34" s="8">
        <f>VLOOKUP(A34,'[1]17_CCTV_360'!B:S,17,0)</f>
        <v>71.428571428571431</v>
      </c>
      <c r="T34" s="8">
        <f>VLOOKUP(A34,'[1]19_NEWS360AI'!B:D,2,0)</f>
        <v>0</v>
      </c>
      <c r="U34" s="8">
        <f>VLOOKUP(A34,'[1]20_eFSL'!B:F,4,0)</f>
        <v>100</v>
      </c>
      <c r="V34" s="8">
        <f>VLOOKUP(A34,'[1]21_UC3'!B:D,2,0)</f>
        <v>0</v>
      </c>
      <c r="W34" s="8">
        <f>VLOOKUP(A34,'[1]22_UC4'!B:D,3,0)</f>
        <v>0</v>
      </c>
    </row>
    <row r="35" spans="1:23" s="9" customFormat="1" ht="26.1" customHeight="1" x14ac:dyDescent="0.3">
      <c r="A35" s="7" t="s">
        <v>56</v>
      </c>
      <c r="B35" s="8" t="str">
        <f>VLOOKUP(A35,'[1]1_MEDLEAPR_PME'!B:H,6,0)</f>
        <v>100.00</v>
      </c>
      <c r="C35" s="8" t="str">
        <f>VLOOKUP(A35,'[1]2_MEDLEAPR_MLC'!B:I,6,0)</f>
        <v>100.00</v>
      </c>
      <c r="D35" s="8">
        <f>VLOOKUP(A35,'[1]3_NATGRID'!B:H,6,0)</f>
        <v>0</v>
      </c>
      <c r="E35" s="8">
        <f>VLOOKUP(A35,'[1]4_DGP_DASH'!B:E,3,0)</f>
        <v>100</v>
      </c>
      <c r="F35" s="8">
        <f>VLOOKUP(A35,'[1]5_CCTNS_TILL'!B:P,13,0)</f>
        <v>81.25</v>
      </c>
      <c r="G35" s="8">
        <f>VLOOKUP(A35,'[1]6_CCTNS_1_7'!B:P,13,0)</f>
        <v>100</v>
      </c>
      <c r="H35" s="8">
        <f>VLOOKUP(A35,'[1]7_CCTNS_8_15'!B:M,11,0)</f>
        <v>0</v>
      </c>
      <c r="I35" s="8">
        <f>VLOOKUP(A35,'[1]8_ZERO_FIRS'!B:H,6,0)</f>
        <v>100</v>
      </c>
      <c r="J35" s="8">
        <f>VLOOKUP(A35,'[1]9_CITIZEN_PORTAL'!B:H,6,0)</f>
        <v>100</v>
      </c>
      <c r="K35" s="8">
        <f>VLOOKUP(A35,'[1]10_ESAKSHYA'!B:L,6,0)</f>
        <v>82.608695652173907</v>
      </c>
      <c r="L35" s="8">
        <f>VLOOKUP(A35,'[1]11_CEIR'!B:L,10,0)</f>
        <v>0</v>
      </c>
      <c r="M35" s="8">
        <f>VLOOKUP(A35,'[1]12_EPROSEC'!B:H,4,0)</f>
        <v>100</v>
      </c>
      <c r="N35" s="8">
        <f>VLOOKUP(A35,'[1]13_FIR_CS_COURT'!B:L,11,0)</f>
        <v>50</v>
      </c>
      <c r="O35" s="8">
        <f>VLOOKUP(A35,'[1]14_EOFFICE'!B:K,9,0)</f>
        <v>0</v>
      </c>
      <c r="P35" s="8">
        <f>VLOOKUP(A35,'[1]15_APOLIS'!B:K,10,0)</f>
        <v>87.5</v>
      </c>
      <c r="Q35" s="8">
        <f>VLOOKUP(A35,'[1]16_APOLICE_FP'!B:H,5,0)</f>
        <v>0</v>
      </c>
      <c r="R35" s="8">
        <f>VLOOKUP(A35,'[1]18_EDAR'!B:F,4,0)</f>
        <v>100</v>
      </c>
      <c r="S35" s="8">
        <f>VLOOKUP(A35,'[1]17_CCTV_360'!B:S,17,0)</f>
        <v>71.428571428571431</v>
      </c>
      <c r="T35" s="8">
        <f>VLOOKUP(A35,'[1]19_NEWS360AI'!B:D,2,0)</f>
        <v>0</v>
      </c>
      <c r="U35" s="8">
        <f>VLOOKUP(A35,'[1]20_eFSL'!B:F,4,0)</f>
        <v>100</v>
      </c>
      <c r="V35" s="8">
        <f>VLOOKUP(A35,'[1]21_UC3'!B:D,2,0)</f>
        <v>0</v>
      </c>
      <c r="W35" s="8">
        <f>VLOOKUP(A35,'[1]22_UC4'!B:D,3,0)</f>
        <v>0</v>
      </c>
    </row>
  </sheetData>
  <pageMargins left="0.70866141732283472" right="0.70866141732283472" top="0.74803149606299213" bottom="0.74803149606299213" header="0.31496062992125984" footer="0.31496062992125984"/>
  <pageSetup paperSize="5" scale="91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2026-09-26T06:49:54Z</dcterms:created>
  <dcterms:modified xsi:type="dcterms:W3CDTF">2026-09-26T06:51:11Z</dcterms:modified>
</cp:coreProperties>
</file>