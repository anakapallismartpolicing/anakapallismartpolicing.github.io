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 Data\AKP Smart Policing Data\WEB UPLOADS\"/>
    </mc:Choice>
  </mc:AlternateContent>
  <xr:revisionPtr revIDLastSave="0" documentId="8_{0474C052-75E1-4F7E-A090-B70919AD7945}" xr6:coauthVersionLast="47" xr6:coauthVersionMax="47" xr10:uidLastSave="{00000000-0000-0000-0000-000000000000}"/>
  <bookViews>
    <workbookView xWindow="-120" yWindow="-120" windowWidth="29040" windowHeight="15720" xr2:uid="{61DAD83A-F998-439B-9BAB-E022C942214D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<sst xmlns="http://schemas.openxmlformats.org/spreadsheetml/2006/main" count="59" uniqueCount="59">
  <si>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</si>
  <si>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</si>
  <si>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</si>
  <si>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</si>
  <si>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</si>
  <si>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</si>
  <si>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</si>
  <si>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</si>
  <si>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</si>
  <si>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</si>
  <si>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</si>
  <si>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>e DAR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</si>
  <si>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</si>
  <si>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</si>
  <si>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</si>
  <si>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</si>
  <si>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</si>
  <si>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</si>
  <si>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</si>
  <si>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</si>
  <si>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</si>
  <si>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</si>
  <si>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eFSL</t>
  </si>
  <si>
    <t>UC3</t>
  </si>
  <si>
    <t>UC4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</si>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</sst>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  <font>
      <b/>
      <sz val="10"/>
      <color rgb="FF14532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MART_POLICE_RAW_DATA%2024.09.xlsx" TargetMode="External"/><Relationship Id="rId2" Type="http://schemas.openxmlformats.org/officeDocument/2006/relationships/externalLinkPath" Target="file:///D:\2026%20Data\AKP%20Smart%20Policing%20Data\SMART_POLICE_RAW_DATA%2024.09.xlsx" TargetMode="External"/><Relationship Id="rId1" Type="http://schemas.openxmlformats.org/officeDocument/2006/relationships/externalLinkPath" Target="/2026%20Data/AKP%20Smart%20Policing%20Data/SMART_POLICE_RAW_DATA%2024.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e DAR"/>
      <sheetName val="12_CEIR"/>
      <sheetName val="13_EPROSEC"/>
      <sheetName val="14_FIR_CS_COURT"/>
      <sheetName val="15_EOFFICE"/>
      <sheetName val="16_APOLIS"/>
      <sheetName val="17_DRONE_FLYING"/>
      <sheetName val="18_112_TABS"/>
      <sheetName val="19_DIAL100_RES"/>
      <sheetName val="20_CCTV_360"/>
      <sheetName val="21_NEWS360AI"/>
      <sheetName val="22_eFSL"/>
      <sheetName val="23_UC3"/>
      <sheetName val="23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2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C8">
            <v>3</v>
          </cell>
          <cell r="D8">
            <v>3</v>
          </cell>
          <cell r="E8">
            <v>3</v>
          </cell>
          <cell r="F8">
            <v>100</v>
          </cell>
          <cell r="G8">
            <v>100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1</v>
          </cell>
          <cell r="F12">
            <v>100</v>
          </cell>
          <cell r="G12">
            <v>100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C14">
            <v>2</v>
          </cell>
          <cell r="D14">
            <v>2</v>
          </cell>
          <cell r="E14">
            <v>2</v>
          </cell>
          <cell r="F14">
            <v>100</v>
          </cell>
          <cell r="G14">
            <v>100</v>
          </cell>
          <cell r="H14">
            <v>2.5</v>
          </cell>
        </row>
        <row r="15">
          <cell r="B15" t="str">
            <v>Kasimkota</v>
          </cell>
          <cell r="F15" t="str">
            <v>100.00</v>
          </cell>
          <cell r="G15" t="str">
            <v>100.00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C19">
            <v>1</v>
          </cell>
          <cell r="D19">
            <v>1</v>
          </cell>
          <cell r="E19">
            <v>1</v>
          </cell>
          <cell r="F19">
            <v>100</v>
          </cell>
          <cell r="G19">
            <v>100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5</v>
          </cell>
          <cell r="D25">
            <v>5</v>
          </cell>
          <cell r="E25">
            <v>5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C26">
            <v>1</v>
          </cell>
          <cell r="D26">
            <v>1</v>
          </cell>
          <cell r="E26">
            <v>1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C33">
            <v>3</v>
          </cell>
          <cell r="D33">
            <v>3</v>
          </cell>
          <cell r="E33">
            <v>3</v>
          </cell>
          <cell r="F33">
            <v>100</v>
          </cell>
          <cell r="G33">
            <v>100</v>
          </cell>
          <cell r="H33">
            <v>2.5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</v>
          </cell>
          <cell r="F34">
            <v>100</v>
          </cell>
          <cell r="G34">
            <v>100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22</v>
          </cell>
          <cell r="D36">
            <v>22</v>
          </cell>
          <cell r="E36">
            <v>22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2</v>
          </cell>
          <cell r="D4">
            <v>2</v>
          </cell>
          <cell r="E4">
            <v>2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2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C10">
            <v>3</v>
          </cell>
          <cell r="D10">
            <v>3</v>
          </cell>
          <cell r="E10">
            <v>3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C17">
            <v>2</v>
          </cell>
          <cell r="D17">
            <v>2</v>
          </cell>
          <cell r="E17">
            <v>2</v>
          </cell>
          <cell r="F17">
            <v>100</v>
          </cell>
          <cell r="G17">
            <v>100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C24">
            <v>3</v>
          </cell>
          <cell r="D24">
            <v>3</v>
          </cell>
          <cell r="E24">
            <v>3</v>
          </cell>
          <cell r="F24">
            <v>100</v>
          </cell>
          <cell r="G24">
            <v>100</v>
          </cell>
          <cell r="H24">
            <v>2.5</v>
          </cell>
        </row>
        <row r="25">
          <cell r="B25" t="str">
            <v>Parawada</v>
          </cell>
          <cell r="C25">
            <v>1</v>
          </cell>
          <cell r="D25">
            <v>1</v>
          </cell>
          <cell r="E25">
            <v>1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1</v>
          </cell>
          <cell r="F32">
            <v>100</v>
          </cell>
          <cell r="G32">
            <v>100</v>
          </cell>
          <cell r="H32">
            <v>2.5</v>
          </cell>
        </row>
        <row r="33">
          <cell r="B33" t="str">
            <v>Yelamanchili Rural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18</v>
          </cell>
          <cell r="D36">
            <v>18</v>
          </cell>
          <cell r="E36">
            <v>18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A.Koduru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Anakapalli Rural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Anakapalli Town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Anakapalli Traffic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Atchutapuram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Butchiyyapeta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Cheedikada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Chodavaram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Devarapalli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Golugonda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K.D.Peta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K.Kotapadu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Kasimkota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Kotavurtla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Kothakota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Mahila UPS, Anakapalli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Makavarapalem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Munagapaka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Nakkapalli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Narsipatnam Rural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Narsipatnam Town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Nathavaram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Parawada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Payakaraopeta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Rambilli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Ravikamatham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Rolugunta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S.Rayavaram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Sabbavaram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V.Madugula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Yelamanchili Rural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Yelamanchili Town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Yelamanchili Traffic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D36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1607</v>
          </cell>
          <cell r="D3">
            <v>1732</v>
          </cell>
          <cell r="E3">
            <v>542</v>
          </cell>
          <cell r="F3">
            <v>98</v>
          </cell>
          <cell r="G3">
            <v>11556</v>
          </cell>
          <cell r="H3">
            <v>6756</v>
          </cell>
          <cell r="I3">
            <v>1375</v>
          </cell>
          <cell r="J3">
            <v>496</v>
          </cell>
          <cell r="K3">
            <v>581</v>
          </cell>
          <cell r="L3">
            <v>1613</v>
          </cell>
          <cell r="M3">
            <v>15.400746733042936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3635</v>
          </cell>
          <cell r="D4">
            <v>3246</v>
          </cell>
          <cell r="E4">
            <v>1401</v>
          </cell>
          <cell r="F4">
            <v>392</v>
          </cell>
          <cell r="G4">
            <v>12348</v>
          </cell>
          <cell r="H4">
            <v>16980</v>
          </cell>
          <cell r="I4">
            <v>3503</v>
          </cell>
          <cell r="J4">
            <v>1449</v>
          </cell>
          <cell r="K4">
            <v>2600</v>
          </cell>
          <cell r="L4">
            <v>4256</v>
          </cell>
          <cell r="M4">
            <v>12.702888583218707</v>
          </cell>
          <cell r="N4">
            <v>96.11</v>
          </cell>
          <cell r="O4">
            <v>2.4027500000000002</v>
          </cell>
        </row>
        <row r="5">
          <cell r="B5" t="str">
            <v>Anakapalli Town</v>
          </cell>
          <cell r="C5">
            <v>6261</v>
          </cell>
          <cell r="D5">
            <v>4016</v>
          </cell>
          <cell r="E5">
            <v>2218</v>
          </cell>
          <cell r="F5">
            <v>440</v>
          </cell>
          <cell r="G5">
            <v>20778</v>
          </cell>
          <cell r="H5">
            <v>21270</v>
          </cell>
          <cell r="I5">
            <v>5405</v>
          </cell>
          <cell r="J5">
            <v>3315</v>
          </cell>
          <cell r="K5">
            <v>3290</v>
          </cell>
          <cell r="L5">
            <v>5810</v>
          </cell>
          <cell r="M5">
            <v>10.628014694138317</v>
          </cell>
          <cell r="N5">
            <v>80.41</v>
          </cell>
          <cell r="O5">
            <v>2.0102500000000001</v>
          </cell>
        </row>
        <row r="6">
          <cell r="B6" t="str">
            <v>Anakapalli Traffic</v>
          </cell>
          <cell r="C6">
            <v>1009</v>
          </cell>
          <cell r="D6">
            <v>1039</v>
          </cell>
          <cell r="E6">
            <v>519</v>
          </cell>
          <cell r="F6">
            <v>0</v>
          </cell>
          <cell r="G6">
            <v>3888</v>
          </cell>
          <cell r="H6">
            <v>5810</v>
          </cell>
          <cell r="I6">
            <v>1329</v>
          </cell>
          <cell r="J6">
            <v>162</v>
          </cell>
          <cell r="K6">
            <v>988</v>
          </cell>
          <cell r="L6">
            <v>913</v>
          </cell>
          <cell r="M6">
            <v>14.517343904856293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3345</v>
          </cell>
          <cell r="D7">
            <v>3244</v>
          </cell>
          <cell r="E7">
            <v>1019</v>
          </cell>
          <cell r="F7">
            <v>676</v>
          </cell>
          <cell r="G7">
            <v>12096</v>
          </cell>
          <cell r="H7">
            <v>14920</v>
          </cell>
          <cell r="I7">
            <v>2880</v>
          </cell>
          <cell r="J7">
            <v>1448</v>
          </cell>
          <cell r="K7">
            <v>1439</v>
          </cell>
          <cell r="L7">
            <v>4558</v>
          </cell>
          <cell r="M7">
            <v>12.639760837070254</v>
          </cell>
          <cell r="N7">
            <v>95.63</v>
          </cell>
          <cell r="O7">
            <v>2.3907500000000002</v>
          </cell>
        </row>
        <row r="8">
          <cell r="B8" t="str">
            <v>Butchiyyapeta</v>
          </cell>
          <cell r="C8">
            <v>2525</v>
          </cell>
          <cell r="D8">
            <v>1895</v>
          </cell>
          <cell r="E8">
            <v>1194</v>
          </cell>
          <cell r="F8">
            <v>109</v>
          </cell>
          <cell r="G8">
            <v>8553</v>
          </cell>
          <cell r="H8">
            <v>11415</v>
          </cell>
          <cell r="I8">
            <v>2223</v>
          </cell>
          <cell r="J8">
            <v>804</v>
          </cell>
          <cell r="K8">
            <v>945</v>
          </cell>
          <cell r="L8">
            <v>2757</v>
          </cell>
          <cell r="M8">
            <v>11.83960396039604</v>
          </cell>
          <cell r="N8">
            <v>89.57</v>
          </cell>
          <cell r="O8">
            <v>2.2392499999999997</v>
          </cell>
        </row>
        <row r="9">
          <cell r="B9" t="str">
            <v>Cheedikada</v>
          </cell>
          <cell r="C9">
            <v>1709</v>
          </cell>
          <cell r="D9">
            <v>1786</v>
          </cell>
          <cell r="E9">
            <v>781</v>
          </cell>
          <cell r="F9">
            <v>702</v>
          </cell>
          <cell r="G9">
            <v>14033</v>
          </cell>
          <cell r="H9">
            <v>6897</v>
          </cell>
          <cell r="I9">
            <v>1414</v>
          </cell>
          <cell r="J9">
            <v>548</v>
          </cell>
          <cell r="K9">
            <v>624</v>
          </cell>
          <cell r="L9">
            <v>1448</v>
          </cell>
          <cell r="M9">
            <v>16.52018724400234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4702</v>
          </cell>
          <cell r="D10">
            <v>3201</v>
          </cell>
          <cell r="E10">
            <v>2440</v>
          </cell>
          <cell r="F10">
            <v>258</v>
          </cell>
          <cell r="G10">
            <v>18829</v>
          </cell>
          <cell r="H10">
            <v>20999</v>
          </cell>
          <cell r="I10">
            <v>4032</v>
          </cell>
          <cell r="J10">
            <v>1522</v>
          </cell>
          <cell r="K10">
            <v>1838</v>
          </cell>
          <cell r="L10">
            <v>5225</v>
          </cell>
          <cell r="M10">
            <v>12.408336877924288</v>
          </cell>
          <cell r="N10">
            <v>93.88</v>
          </cell>
          <cell r="O10">
            <v>2.347</v>
          </cell>
        </row>
        <row r="11">
          <cell r="B11" t="str">
            <v>Devarapalli</v>
          </cell>
          <cell r="C11">
            <v>2760</v>
          </cell>
          <cell r="D11">
            <v>2900</v>
          </cell>
          <cell r="E11">
            <v>920</v>
          </cell>
          <cell r="F11">
            <v>76</v>
          </cell>
          <cell r="G11">
            <v>9461</v>
          </cell>
          <cell r="H11">
            <v>11080</v>
          </cell>
          <cell r="I11">
            <v>2283</v>
          </cell>
          <cell r="J11">
            <v>855</v>
          </cell>
          <cell r="K11">
            <v>852</v>
          </cell>
          <cell r="L11">
            <v>3590</v>
          </cell>
          <cell r="M11">
            <v>11.600362318840579</v>
          </cell>
          <cell r="N11">
            <v>87.76</v>
          </cell>
          <cell r="O11">
            <v>2.1940000000000004</v>
          </cell>
        </row>
        <row r="12">
          <cell r="B12" t="str">
            <v>Golugonda</v>
          </cell>
          <cell r="C12">
            <v>1608</v>
          </cell>
          <cell r="D12">
            <v>1845</v>
          </cell>
          <cell r="E12">
            <v>1294</v>
          </cell>
          <cell r="F12">
            <v>44</v>
          </cell>
          <cell r="G12">
            <v>9748</v>
          </cell>
          <cell r="H12">
            <v>7704</v>
          </cell>
          <cell r="I12">
            <v>1642</v>
          </cell>
          <cell r="J12">
            <v>708</v>
          </cell>
          <cell r="K12">
            <v>676</v>
          </cell>
          <cell r="L12">
            <v>1913</v>
          </cell>
          <cell r="M12">
            <v>15.904228855721392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1042</v>
          </cell>
          <cell r="D13">
            <v>1038</v>
          </cell>
          <cell r="E13">
            <v>792</v>
          </cell>
          <cell r="F13">
            <v>117</v>
          </cell>
          <cell r="G13">
            <v>3018</v>
          </cell>
          <cell r="H13">
            <v>4813</v>
          </cell>
          <cell r="I13">
            <v>943</v>
          </cell>
          <cell r="J13">
            <v>354</v>
          </cell>
          <cell r="K13">
            <v>262</v>
          </cell>
          <cell r="L13">
            <v>898</v>
          </cell>
          <cell r="M13">
            <v>11.741842610364683</v>
          </cell>
          <cell r="N13">
            <v>88.83</v>
          </cell>
          <cell r="O13">
            <v>2.2207500000000002</v>
          </cell>
        </row>
        <row r="14">
          <cell r="B14" t="str">
            <v>K.Kotapadu</v>
          </cell>
          <cell r="C14">
            <v>1778</v>
          </cell>
          <cell r="D14">
            <v>1818</v>
          </cell>
          <cell r="E14">
            <v>546</v>
          </cell>
          <cell r="F14">
            <v>99</v>
          </cell>
          <cell r="G14">
            <v>7319</v>
          </cell>
          <cell r="H14">
            <v>8934</v>
          </cell>
          <cell r="I14">
            <v>1550</v>
          </cell>
          <cell r="J14">
            <v>550</v>
          </cell>
          <cell r="K14">
            <v>664</v>
          </cell>
          <cell r="L14">
            <v>2118</v>
          </cell>
          <cell r="M14">
            <v>13.272215973003375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3726</v>
          </cell>
          <cell r="D15">
            <v>3779</v>
          </cell>
          <cell r="E15">
            <v>1663</v>
          </cell>
          <cell r="F15">
            <v>233</v>
          </cell>
          <cell r="G15">
            <v>17035</v>
          </cell>
          <cell r="H15">
            <v>16062</v>
          </cell>
          <cell r="I15">
            <v>3246</v>
          </cell>
          <cell r="J15">
            <v>1460</v>
          </cell>
          <cell r="K15">
            <v>2435</v>
          </cell>
          <cell r="L15">
            <v>3091</v>
          </cell>
          <cell r="M15">
            <v>13.151905528717123</v>
          </cell>
          <cell r="N15">
            <v>99.5</v>
          </cell>
          <cell r="O15">
            <v>2.4875000000000003</v>
          </cell>
        </row>
        <row r="16">
          <cell r="B16" t="str">
            <v>Kotavurtla</v>
          </cell>
          <cell r="C16">
            <v>2346</v>
          </cell>
          <cell r="D16">
            <v>1840</v>
          </cell>
          <cell r="E16">
            <v>696</v>
          </cell>
          <cell r="F16">
            <v>261</v>
          </cell>
          <cell r="G16">
            <v>12558</v>
          </cell>
          <cell r="H16">
            <v>6949</v>
          </cell>
          <cell r="I16">
            <v>2200</v>
          </cell>
          <cell r="J16">
            <v>674</v>
          </cell>
          <cell r="K16">
            <v>651</v>
          </cell>
          <cell r="L16">
            <v>2861</v>
          </cell>
          <cell r="M16">
            <v>12.229326513213982</v>
          </cell>
          <cell r="N16">
            <v>92.52</v>
          </cell>
          <cell r="O16">
            <v>2.3130000000000002</v>
          </cell>
        </row>
        <row r="17">
          <cell r="B17" t="str">
            <v>Kothakota</v>
          </cell>
          <cell r="C17">
            <v>1929</v>
          </cell>
          <cell r="D17">
            <v>1942</v>
          </cell>
          <cell r="E17">
            <v>722</v>
          </cell>
          <cell r="F17">
            <v>941</v>
          </cell>
          <cell r="G17">
            <v>7573</v>
          </cell>
          <cell r="H17">
            <v>8457</v>
          </cell>
          <cell r="I17">
            <v>1723</v>
          </cell>
          <cell r="J17">
            <v>706</v>
          </cell>
          <cell r="K17">
            <v>652</v>
          </cell>
          <cell r="L17">
            <v>1967</v>
          </cell>
          <cell r="M17">
            <v>12.795749092794194</v>
          </cell>
          <cell r="N17">
            <v>96.81</v>
          </cell>
          <cell r="O17">
            <v>2.4202500000000002</v>
          </cell>
        </row>
        <row r="18">
          <cell r="B18" t="str">
            <v>Mahila UPS, Anakapalli</v>
          </cell>
          <cell r="C18">
            <v>844</v>
          </cell>
          <cell r="D18">
            <v>559</v>
          </cell>
          <cell r="E18">
            <v>80</v>
          </cell>
          <cell r="F18">
            <v>5</v>
          </cell>
          <cell r="G18">
            <v>3696</v>
          </cell>
          <cell r="H18">
            <v>7708</v>
          </cell>
          <cell r="I18">
            <v>1019</v>
          </cell>
          <cell r="J18">
            <v>25</v>
          </cell>
          <cell r="K18">
            <v>419</v>
          </cell>
          <cell r="L18">
            <v>2852</v>
          </cell>
          <cell r="M18">
            <v>19.387440758293838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2724</v>
          </cell>
          <cell r="D19">
            <v>1011</v>
          </cell>
          <cell r="E19">
            <v>799</v>
          </cell>
          <cell r="F19">
            <v>247</v>
          </cell>
          <cell r="G19">
            <v>16839</v>
          </cell>
          <cell r="H19">
            <v>9231</v>
          </cell>
          <cell r="I19">
            <v>2518</v>
          </cell>
          <cell r="J19">
            <v>883</v>
          </cell>
          <cell r="K19">
            <v>1411</v>
          </cell>
          <cell r="L19">
            <v>3057</v>
          </cell>
          <cell r="M19">
            <v>13.214390602055801</v>
          </cell>
          <cell r="N19">
            <v>99.98</v>
          </cell>
          <cell r="O19">
            <v>2.4995000000000003</v>
          </cell>
        </row>
        <row r="20">
          <cell r="B20" t="str">
            <v>Munagapaka</v>
          </cell>
          <cell r="C20">
            <v>2458</v>
          </cell>
          <cell r="D20">
            <v>2582</v>
          </cell>
          <cell r="E20">
            <v>749</v>
          </cell>
          <cell r="F20">
            <v>124</v>
          </cell>
          <cell r="G20">
            <v>9593</v>
          </cell>
          <cell r="H20">
            <v>11066</v>
          </cell>
          <cell r="I20">
            <v>1987</v>
          </cell>
          <cell r="J20">
            <v>1060</v>
          </cell>
          <cell r="K20">
            <v>1321</v>
          </cell>
          <cell r="L20">
            <v>3333</v>
          </cell>
          <cell r="M20">
            <v>12.943449959316517</v>
          </cell>
          <cell r="N20">
            <v>97.93</v>
          </cell>
          <cell r="O20">
            <v>2.4482500000000003</v>
          </cell>
        </row>
        <row r="21">
          <cell r="B21" t="str">
            <v>Nakkapalli</v>
          </cell>
          <cell r="C21">
            <v>3279</v>
          </cell>
          <cell r="D21">
            <v>3311</v>
          </cell>
          <cell r="E21">
            <v>673</v>
          </cell>
          <cell r="F21">
            <v>1013</v>
          </cell>
          <cell r="G21">
            <v>24453</v>
          </cell>
          <cell r="H21">
            <v>14826</v>
          </cell>
          <cell r="I21">
            <v>2964</v>
          </cell>
          <cell r="J21">
            <v>1364</v>
          </cell>
          <cell r="K21">
            <v>1324</v>
          </cell>
          <cell r="L21">
            <v>3864</v>
          </cell>
          <cell r="M21">
            <v>16.405001524855138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1490</v>
          </cell>
          <cell r="D22">
            <v>1522</v>
          </cell>
          <cell r="E22">
            <v>798</v>
          </cell>
          <cell r="F22">
            <v>122</v>
          </cell>
          <cell r="G22">
            <v>5934</v>
          </cell>
          <cell r="H22">
            <v>6860</v>
          </cell>
          <cell r="I22">
            <v>1429</v>
          </cell>
          <cell r="J22">
            <v>626</v>
          </cell>
          <cell r="K22">
            <v>778</v>
          </cell>
          <cell r="L22">
            <v>1662</v>
          </cell>
          <cell r="M22">
            <v>13.24228187919463</v>
          </cell>
          <cell r="N22">
            <v>100</v>
          </cell>
          <cell r="O22">
            <v>2.5</v>
          </cell>
        </row>
        <row r="23">
          <cell r="B23" t="str">
            <v>Narsipatnam Town</v>
          </cell>
          <cell r="C23">
            <v>4336</v>
          </cell>
          <cell r="D23">
            <v>4104</v>
          </cell>
          <cell r="E23">
            <v>2284</v>
          </cell>
          <cell r="F23">
            <v>349</v>
          </cell>
          <cell r="G23">
            <v>11920</v>
          </cell>
          <cell r="H23">
            <v>17550</v>
          </cell>
          <cell r="I23">
            <v>4210</v>
          </cell>
          <cell r="J23">
            <v>1825</v>
          </cell>
          <cell r="K23">
            <v>1495</v>
          </cell>
          <cell r="L23">
            <v>4564</v>
          </cell>
          <cell r="M23">
            <v>11.139529520295204</v>
          </cell>
          <cell r="N23">
            <v>84.28</v>
          </cell>
          <cell r="O23">
            <v>2.1070000000000002</v>
          </cell>
        </row>
        <row r="24">
          <cell r="B24" t="str">
            <v>Nathavaram</v>
          </cell>
          <cell r="C24">
            <v>2369</v>
          </cell>
          <cell r="D24">
            <v>2209</v>
          </cell>
          <cell r="E24">
            <v>1108</v>
          </cell>
          <cell r="F24">
            <v>40</v>
          </cell>
          <cell r="G24">
            <v>6402</v>
          </cell>
          <cell r="H24">
            <v>9458</v>
          </cell>
          <cell r="I24">
            <v>2118</v>
          </cell>
          <cell r="J24">
            <v>1009</v>
          </cell>
          <cell r="K24">
            <v>933</v>
          </cell>
          <cell r="L24">
            <v>2914</v>
          </cell>
          <cell r="M24">
            <v>11.055719712959055</v>
          </cell>
          <cell r="N24">
            <v>83.64</v>
          </cell>
          <cell r="O24">
            <v>2.0910000000000002</v>
          </cell>
        </row>
        <row r="25">
          <cell r="B25" t="str">
            <v>Parawada</v>
          </cell>
          <cell r="C25">
            <v>3745</v>
          </cell>
          <cell r="D25">
            <v>1781</v>
          </cell>
          <cell r="E25">
            <v>2332</v>
          </cell>
          <cell r="F25">
            <v>441</v>
          </cell>
          <cell r="G25">
            <v>18046</v>
          </cell>
          <cell r="H25">
            <v>19046</v>
          </cell>
          <cell r="I25">
            <v>3146</v>
          </cell>
          <cell r="J25">
            <v>1822</v>
          </cell>
          <cell r="K25">
            <v>2017</v>
          </cell>
          <cell r="L25">
            <v>3976</v>
          </cell>
          <cell r="M25">
            <v>14.047263017356475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3928</v>
          </cell>
          <cell r="D26">
            <v>3246</v>
          </cell>
          <cell r="E26">
            <v>1663</v>
          </cell>
          <cell r="F26">
            <v>192</v>
          </cell>
          <cell r="G26">
            <v>23519</v>
          </cell>
          <cell r="H26">
            <v>18183</v>
          </cell>
          <cell r="I26">
            <v>3321</v>
          </cell>
          <cell r="J26">
            <v>1683</v>
          </cell>
          <cell r="K26">
            <v>1306</v>
          </cell>
          <cell r="L26">
            <v>5198</v>
          </cell>
          <cell r="M26">
            <v>14.844959266802444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2467</v>
          </cell>
          <cell r="D27">
            <v>2786</v>
          </cell>
          <cell r="E27">
            <v>716</v>
          </cell>
          <cell r="F27">
            <v>80</v>
          </cell>
          <cell r="G27">
            <v>13230</v>
          </cell>
          <cell r="H27">
            <v>10402</v>
          </cell>
          <cell r="I27">
            <v>2093</v>
          </cell>
          <cell r="J27">
            <v>1131</v>
          </cell>
          <cell r="K27">
            <v>1146</v>
          </cell>
          <cell r="L27">
            <v>2994</v>
          </cell>
          <cell r="M27">
            <v>14.016214025131738</v>
          </cell>
          <cell r="N27">
            <v>100</v>
          </cell>
          <cell r="O27">
            <v>2.5</v>
          </cell>
        </row>
        <row r="28">
          <cell r="B28" t="str">
            <v>Ravikamatham</v>
          </cell>
          <cell r="C28">
            <v>2179</v>
          </cell>
          <cell r="D28">
            <v>1754</v>
          </cell>
          <cell r="E28">
            <v>710</v>
          </cell>
          <cell r="F28">
            <v>222</v>
          </cell>
          <cell r="G28">
            <v>12640</v>
          </cell>
          <cell r="H28">
            <v>7036</v>
          </cell>
          <cell r="I28">
            <v>2218</v>
          </cell>
          <cell r="J28">
            <v>515</v>
          </cell>
          <cell r="K28">
            <v>824</v>
          </cell>
          <cell r="L28">
            <v>2561</v>
          </cell>
          <cell r="M28">
            <v>13.070215695273061</v>
          </cell>
          <cell r="N28">
            <v>98.88</v>
          </cell>
          <cell r="O28">
            <v>2.472</v>
          </cell>
        </row>
        <row r="29">
          <cell r="B29" t="str">
            <v>Rolugunta</v>
          </cell>
          <cell r="C29">
            <v>1967</v>
          </cell>
          <cell r="D29">
            <v>1625</v>
          </cell>
          <cell r="E29">
            <v>1573</v>
          </cell>
          <cell r="F29">
            <v>226</v>
          </cell>
          <cell r="G29">
            <v>7319</v>
          </cell>
          <cell r="H29">
            <v>7744</v>
          </cell>
          <cell r="I29">
            <v>1803</v>
          </cell>
          <cell r="J29">
            <v>883</v>
          </cell>
          <cell r="K29">
            <v>671</v>
          </cell>
          <cell r="L29">
            <v>1882</v>
          </cell>
          <cell r="M29">
            <v>12.062023385866802</v>
          </cell>
          <cell r="N29">
            <v>91.26</v>
          </cell>
          <cell r="O29">
            <v>2.2815000000000003</v>
          </cell>
        </row>
        <row r="30">
          <cell r="B30" t="str">
            <v>S.Rayavaram</v>
          </cell>
          <cell r="C30">
            <v>3612</v>
          </cell>
          <cell r="D30">
            <v>3721</v>
          </cell>
          <cell r="E30">
            <v>969</v>
          </cell>
          <cell r="F30">
            <v>206</v>
          </cell>
          <cell r="G30">
            <v>7309</v>
          </cell>
          <cell r="H30">
            <v>14614</v>
          </cell>
          <cell r="I30">
            <v>3158</v>
          </cell>
          <cell r="J30">
            <v>1515</v>
          </cell>
          <cell r="K30">
            <v>1327</v>
          </cell>
          <cell r="L30">
            <v>4014</v>
          </cell>
          <cell r="M30">
            <v>10.197397563676633</v>
          </cell>
          <cell r="N30">
            <v>77.150000000000006</v>
          </cell>
          <cell r="O30">
            <v>1.9287500000000002</v>
          </cell>
        </row>
        <row r="31">
          <cell r="B31" t="str">
            <v>Sabbavaram</v>
          </cell>
          <cell r="C31">
            <v>3452</v>
          </cell>
          <cell r="D31">
            <v>3339</v>
          </cell>
          <cell r="E31">
            <v>1015</v>
          </cell>
          <cell r="F31">
            <v>228</v>
          </cell>
          <cell r="G31">
            <v>13940</v>
          </cell>
          <cell r="H31">
            <v>12402</v>
          </cell>
          <cell r="I31">
            <v>3249</v>
          </cell>
          <cell r="J31">
            <v>1255</v>
          </cell>
          <cell r="K31">
            <v>2384</v>
          </cell>
          <cell r="L31">
            <v>4005</v>
          </cell>
          <cell r="M31">
            <v>12.113847045191193</v>
          </cell>
          <cell r="N31">
            <v>91.65</v>
          </cell>
          <cell r="O31">
            <v>2.2912500000000002</v>
          </cell>
        </row>
        <row r="32">
          <cell r="B32" t="str">
            <v>V.Madugula</v>
          </cell>
          <cell r="C32">
            <v>2819</v>
          </cell>
          <cell r="D32">
            <v>2886</v>
          </cell>
          <cell r="E32">
            <v>1517</v>
          </cell>
          <cell r="F32">
            <v>155</v>
          </cell>
          <cell r="G32">
            <v>7673</v>
          </cell>
          <cell r="H32">
            <v>12617</v>
          </cell>
          <cell r="I32">
            <v>2592</v>
          </cell>
          <cell r="J32">
            <v>978</v>
          </cell>
          <cell r="K32">
            <v>1104</v>
          </cell>
          <cell r="L32">
            <v>3394</v>
          </cell>
          <cell r="M32">
            <v>11.67648102163888</v>
          </cell>
          <cell r="N32">
            <v>88.34</v>
          </cell>
          <cell r="O32">
            <v>2.2085000000000004</v>
          </cell>
        </row>
        <row r="33">
          <cell r="B33" t="str">
            <v>Yelamanchili Rural</v>
          </cell>
          <cell r="C33">
            <v>2303</v>
          </cell>
          <cell r="D33">
            <v>2250</v>
          </cell>
          <cell r="E33">
            <v>533</v>
          </cell>
          <cell r="F33">
            <v>376</v>
          </cell>
          <cell r="G33">
            <v>13348</v>
          </cell>
          <cell r="H33">
            <v>10146</v>
          </cell>
          <cell r="I33">
            <v>2110</v>
          </cell>
          <cell r="J33">
            <v>830</v>
          </cell>
          <cell r="K33">
            <v>1012</v>
          </cell>
          <cell r="L33">
            <v>2739</v>
          </cell>
          <cell r="M33">
            <v>14.478506296135475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1834</v>
          </cell>
          <cell r="D34">
            <v>1693</v>
          </cell>
          <cell r="E34">
            <v>430</v>
          </cell>
          <cell r="F34">
            <v>408</v>
          </cell>
          <cell r="G34">
            <v>10853</v>
          </cell>
          <cell r="H34">
            <v>7879</v>
          </cell>
          <cell r="I34">
            <v>1732</v>
          </cell>
          <cell r="J34">
            <v>744</v>
          </cell>
          <cell r="K34">
            <v>735</v>
          </cell>
          <cell r="L34">
            <v>1563</v>
          </cell>
          <cell r="M34">
            <v>14.196837513631406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46</v>
          </cell>
          <cell r="D35">
            <v>46</v>
          </cell>
          <cell r="E35">
            <v>0</v>
          </cell>
          <cell r="F35">
            <v>0</v>
          </cell>
          <cell r="G35">
            <v>196</v>
          </cell>
          <cell r="H35">
            <v>144</v>
          </cell>
          <cell r="I35">
            <v>45</v>
          </cell>
          <cell r="J35">
            <v>0</v>
          </cell>
          <cell r="K35">
            <v>17</v>
          </cell>
          <cell r="L35">
            <v>46</v>
          </cell>
          <cell r="M35">
            <v>10.739130434782609</v>
          </cell>
          <cell r="N35">
            <v>81.25</v>
          </cell>
          <cell r="O35">
            <v>2.03125</v>
          </cell>
        </row>
        <row r="36">
          <cell r="C36">
            <v>85834</v>
          </cell>
          <cell r="D36">
            <v>75746</v>
          </cell>
          <cell r="E36">
            <v>34696</v>
          </cell>
          <cell r="F36">
            <v>8880</v>
          </cell>
          <cell r="G36">
            <v>375703</v>
          </cell>
          <cell r="H36">
            <v>365958</v>
          </cell>
          <cell r="I36">
            <v>77460</v>
          </cell>
          <cell r="J36">
            <v>33199</v>
          </cell>
          <cell r="K36">
            <v>38721</v>
          </cell>
          <cell r="L36">
            <v>97636</v>
          </cell>
          <cell r="M36">
            <v>13.217672816659439</v>
          </cell>
          <cell r="N36">
            <v>94.40545454545456</v>
          </cell>
          <cell r="O36">
            <v>2.3601363636363639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50</v>
          </cell>
          <cell r="O3">
            <v>1.25</v>
          </cell>
        </row>
        <row r="4">
          <cell r="B4" t="str">
            <v>Anakapalli Rural</v>
          </cell>
          <cell r="C4">
            <v>4</v>
          </cell>
          <cell r="D4">
            <v>0</v>
          </cell>
          <cell r="E4">
            <v>0</v>
          </cell>
          <cell r="F4">
            <v>0</v>
          </cell>
          <cell r="G4">
            <v>17</v>
          </cell>
          <cell r="H4">
            <v>14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7.75</v>
          </cell>
          <cell r="N4">
            <v>100</v>
          </cell>
          <cell r="O4">
            <v>2.5</v>
          </cell>
        </row>
        <row r="5">
          <cell r="B5" t="str">
            <v>Anakapalli Town</v>
          </cell>
          <cell r="C5">
            <v>2</v>
          </cell>
          <cell r="D5">
            <v>2</v>
          </cell>
          <cell r="E5">
            <v>0</v>
          </cell>
          <cell r="F5">
            <v>0</v>
          </cell>
          <cell r="G5">
            <v>2</v>
          </cell>
          <cell r="H5">
            <v>6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</v>
          </cell>
          <cell r="N5">
            <v>74.39</v>
          </cell>
          <cell r="O5">
            <v>1.85975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</v>
          </cell>
          <cell r="H6">
            <v>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4</v>
          </cell>
          <cell r="N6">
            <v>59.51</v>
          </cell>
          <cell r="O6">
            <v>1.4877500000000001</v>
          </cell>
        </row>
        <row r="7">
          <cell r="B7" t="str">
            <v>Atchutapuram</v>
          </cell>
          <cell r="C7">
            <v>6</v>
          </cell>
          <cell r="D7">
            <v>6</v>
          </cell>
          <cell r="E7">
            <v>0</v>
          </cell>
          <cell r="F7">
            <v>1</v>
          </cell>
          <cell r="G7">
            <v>42</v>
          </cell>
          <cell r="H7">
            <v>25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12.5</v>
          </cell>
          <cell r="N7">
            <v>100</v>
          </cell>
          <cell r="O7">
            <v>2.5</v>
          </cell>
        </row>
        <row r="8">
          <cell r="B8" t="str">
            <v>Butchiyyapeta</v>
          </cell>
          <cell r="C8">
            <v>2</v>
          </cell>
          <cell r="D8">
            <v>2</v>
          </cell>
          <cell r="E8">
            <v>0</v>
          </cell>
          <cell r="F8">
            <v>0</v>
          </cell>
          <cell r="G8">
            <v>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5.5</v>
          </cell>
          <cell r="N8">
            <v>81.83</v>
          </cell>
          <cell r="O8">
            <v>2.04575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50</v>
          </cell>
          <cell r="O9">
            <v>1.25</v>
          </cell>
        </row>
        <row r="10">
          <cell r="B10" t="str">
            <v>Chodavaram</v>
          </cell>
          <cell r="C10">
            <v>5</v>
          </cell>
          <cell r="D10">
            <v>4</v>
          </cell>
          <cell r="E10">
            <v>0</v>
          </cell>
          <cell r="F10">
            <v>0</v>
          </cell>
          <cell r="G10">
            <v>15</v>
          </cell>
          <cell r="H10">
            <v>6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5</v>
          </cell>
          <cell r="N10">
            <v>74.39</v>
          </cell>
          <cell r="O10">
            <v>1.85975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50</v>
          </cell>
          <cell r="O11">
            <v>1.25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10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50</v>
          </cell>
          <cell r="O13">
            <v>1.25</v>
          </cell>
        </row>
        <row r="14">
          <cell r="B14" t="str">
            <v>K.Kotapadu</v>
          </cell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0</v>
          </cell>
          <cell r="H14">
            <v>15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8.5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2</v>
          </cell>
          <cell r="D15">
            <v>2</v>
          </cell>
          <cell r="E15">
            <v>0</v>
          </cell>
          <cell r="F15">
            <v>0</v>
          </cell>
          <cell r="G15">
            <v>12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7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50</v>
          </cell>
          <cell r="O16">
            <v>1.25</v>
          </cell>
        </row>
        <row r="17">
          <cell r="B17" t="str">
            <v>Kothakota</v>
          </cell>
          <cell r="C17">
            <v>2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1.5</v>
          </cell>
          <cell r="N17">
            <v>22.32</v>
          </cell>
          <cell r="O17">
            <v>0.55800000000000005</v>
          </cell>
        </row>
        <row r="18">
          <cell r="B18" t="str">
            <v>Mahila UPS, Anakapalli</v>
          </cell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11</v>
          </cell>
          <cell r="H18">
            <v>12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12.5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3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 t="str">
            <v>Munagapaka</v>
          </cell>
          <cell r="C20">
            <v>3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0.66666666666666663</v>
          </cell>
          <cell r="N20">
            <v>9.92</v>
          </cell>
          <cell r="O20">
            <v>0.248</v>
          </cell>
        </row>
        <row r="21">
          <cell r="B21" t="str">
            <v>Nakkapalli</v>
          </cell>
          <cell r="C21">
            <v>7</v>
          </cell>
          <cell r="D21">
            <v>7</v>
          </cell>
          <cell r="E21">
            <v>0</v>
          </cell>
          <cell r="F21">
            <v>0</v>
          </cell>
          <cell r="G21">
            <v>35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6</v>
          </cell>
          <cell r="N21">
            <v>89.27</v>
          </cell>
          <cell r="O21">
            <v>2.2317499999999999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0</v>
          </cell>
          <cell r="F22">
            <v>0</v>
          </cell>
          <cell r="G22">
            <v>1</v>
          </cell>
          <cell r="H22">
            <v>3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5</v>
          </cell>
          <cell r="N22">
            <v>74.39</v>
          </cell>
          <cell r="O22">
            <v>1.85975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50</v>
          </cell>
          <cell r="O23">
            <v>1.25</v>
          </cell>
        </row>
        <row r="24">
          <cell r="B24" t="str">
            <v>Nathavaram</v>
          </cell>
          <cell r="C24">
            <v>4</v>
          </cell>
          <cell r="D24">
            <v>4</v>
          </cell>
          <cell r="E24">
            <v>0</v>
          </cell>
          <cell r="F24">
            <v>0</v>
          </cell>
          <cell r="G24">
            <v>12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</v>
          </cell>
          <cell r="M24">
            <v>5</v>
          </cell>
          <cell r="N24">
            <v>74.39</v>
          </cell>
          <cell r="O24">
            <v>1.85975</v>
          </cell>
        </row>
        <row r="25">
          <cell r="B25" t="str">
            <v>Parawada</v>
          </cell>
          <cell r="C25">
            <v>6</v>
          </cell>
          <cell r="D25">
            <v>1</v>
          </cell>
          <cell r="E25">
            <v>0</v>
          </cell>
          <cell r="F25">
            <v>0</v>
          </cell>
          <cell r="G25">
            <v>39</v>
          </cell>
          <cell r="H25">
            <v>6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7.666666666666667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24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2</v>
          </cell>
          <cell r="M26">
            <v>10.666666666666666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3</v>
          </cell>
          <cell r="D27">
            <v>2</v>
          </cell>
          <cell r="E27">
            <v>0</v>
          </cell>
          <cell r="F27">
            <v>1</v>
          </cell>
          <cell r="G27">
            <v>3</v>
          </cell>
          <cell r="H27">
            <v>3</v>
          </cell>
          <cell r="I27">
            <v>0</v>
          </cell>
          <cell r="J27">
            <v>0</v>
          </cell>
          <cell r="K27">
            <v>0</v>
          </cell>
          <cell r="L27">
            <v>4</v>
          </cell>
          <cell r="M27">
            <v>4.333333333333333</v>
          </cell>
          <cell r="N27">
            <v>64.47</v>
          </cell>
          <cell r="O27">
            <v>1.61175</v>
          </cell>
        </row>
        <row r="28">
          <cell r="B28" t="str">
            <v>Ravikamatham</v>
          </cell>
          <cell r="C28">
            <v>1</v>
          </cell>
          <cell r="D28">
            <v>1</v>
          </cell>
          <cell r="E28">
            <v>0</v>
          </cell>
          <cell r="F28">
            <v>0</v>
          </cell>
          <cell r="G28">
            <v>1</v>
          </cell>
          <cell r="H28">
            <v>2</v>
          </cell>
          <cell r="I28">
            <v>0</v>
          </cell>
          <cell r="J28">
            <v>0</v>
          </cell>
          <cell r="K28">
            <v>0</v>
          </cell>
          <cell r="L28">
            <v>1</v>
          </cell>
          <cell r="M28">
            <v>5</v>
          </cell>
          <cell r="N28">
            <v>74.39</v>
          </cell>
          <cell r="O28">
            <v>1.85975</v>
          </cell>
        </row>
        <row r="29">
          <cell r="B29" t="str">
            <v>Rolugunta</v>
          </cell>
          <cell r="C29">
            <v>3</v>
          </cell>
          <cell r="D29">
            <v>3</v>
          </cell>
          <cell r="E29">
            <v>0</v>
          </cell>
          <cell r="F29">
            <v>0</v>
          </cell>
          <cell r="G29">
            <v>5</v>
          </cell>
          <cell r="H29">
            <v>14</v>
          </cell>
          <cell r="I29">
            <v>0</v>
          </cell>
          <cell r="J29">
            <v>0</v>
          </cell>
          <cell r="K29">
            <v>0</v>
          </cell>
          <cell r="L29">
            <v>12</v>
          </cell>
          <cell r="M29">
            <v>11.333333333333334</v>
          </cell>
          <cell r="N29">
            <v>100</v>
          </cell>
          <cell r="O29">
            <v>2.5</v>
          </cell>
        </row>
        <row r="30">
          <cell r="B30" t="str">
            <v>S.Rayavaram</v>
          </cell>
          <cell r="C30">
            <v>3</v>
          </cell>
          <cell r="D30">
            <v>3</v>
          </cell>
          <cell r="E30">
            <v>0</v>
          </cell>
          <cell r="F30">
            <v>0</v>
          </cell>
          <cell r="G30">
            <v>4</v>
          </cell>
          <cell r="H30">
            <v>5</v>
          </cell>
          <cell r="I30">
            <v>0</v>
          </cell>
          <cell r="J30">
            <v>0</v>
          </cell>
          <cell r="K30">
            <v>0</v>
          </cell>
          <cell r="L30">
            <v>4</v>
          </cell>
          <cell r="M30">
            <v>5.333333333333333</v>
          </cell>
          <cell r="N30">
            <v>79.349999999999994</v>
          </cell>
          <cell r="O30">
            <v>1.9837499999999999</v>
          </cell>
        </row>
        <row r="31">
          <cell r="B31" t="str">
            <v>Sabbavaram</v>
          </cell>
          <cell r="C31">
            <v>2</v>
          </cell>
          <cell r="D31">
            <v>2</v>
          </cell>
          <cell r="E31">
            <v>0</v>
          </cell>
          <cell r="F31">
            <v>0</v>
          </cell>
          <cell r="G31">
            <v>6</v>
          </cell>
          <cell r="H31">
            <v>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8.5</v>
          </cell>
          <cell r="N31">
            <v>100</v>
          </cell>
          <cell r="O31">
            <v>2.5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</v>
          </cell>
          <cell r="H32">
            <v>3</v>
          </cell>
          <cell r="I32">
            <v>0</v>
          </cell>
          <cell r="J32">
            <v>0</v>
          </cell>
          <cell r="K32">
            <v>0</v>
          </cell>
          <cell r="L32">
            <v>1</v>
          </cell>
          <cell r="M32">
            <v>6</v>
          </cell>
          <cell r="N32">
            <v>89.27</v>
          </cell>
          <cell r="O32">
            <v>2.2317499999999999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0</v>
          </cell>
          <cell r="F33">
            <v>0</v>
          </cell>
          <cell r="G33">
            <v>4</v>
          </cell>
          <cell r="H33">
            <v>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10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2</v>
          </cell>
          <cell r="D34">
            <v>2</v>
          </cell>
          <cell r="E34">
            <v>0</v>
          </cell>
          <cell r="F34">
            <v>0</v>
          </cell>
          <cell r="G34">
            <v>2</v>
          </cell>
          <cell r="H34">
            <v>8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6</v>
          </cell>
          <cell r="N34">
            <v>89.27</v>
          </cell>
          <cell r="O34">
            <v>2.2317499999999999</v>
          </cell>
        </row>
        <row r="35">
          <cell r="B35" t="str">
            <v>Yelamanchili Traffic</v>
          </cell>
          <cell r="C35">
            <v>1</v>
          </cell>
          <cell r="D35">
            <v>1</v>
          </cell>
          <cell r="E35">
            <v>0</v>
          </cell>
          <cell r="F35">
            <v>0</v>
          </cell>
          <cell r="G35">
            <v>3</v>
          </cell>
          <cell r="H35">
            <v>3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8</v>
          </cell>
          <cell r="N35">
            <v>100</v>
          </cell>
          <cell r="O35">
            <v>2.5</v>
          </cell>
        </row>
        <row r="36">
          <cell r="C36">
            <v>79</v>
          </cell>
          <cell r="D36">
            <v>67</v>
          </cell>
          <cell r="E36">
            <v>3</v>
          </cell>
          <cell r="F36">
            <v>7</v>
          </cell>
          <cell r="G36">
            <v>209</v>
          </cell>
          <cell r="H36">
            <v>209</v>
          </cell>
          <cell r="I36">
            <v>3</v>
          </cell>
          <cell r="J36">
            <v>0</v>
          </cell>
          <cell r="K36">
            <v>2</v>
          </cell>
          <cell r="L36">
            <v>31</v>
          </cell>
          <cell r="M36">
            <v>6.7215189873417724</v>
          </cell>
          <cell r="N36">
            <v>74.459393939393934</v>
          </cell>
          <cell r="O36">
            <v>1.8614848484848485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5</v>
          </cell>
          <cell r="D3">
            <v>5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36</v>
          </cell>
          <cell r="D4">
            <v>36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72</v>
          </cell>
          <cell r="D5">
            <v>72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4</v>
          </cell>
          <cell r="D8">
            <v>4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18</v>
          </cell>
          <cell r="D9">
            <v>18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12</v>
          </cell>
          <cell r="D10">
            <v>12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6</v>
          </cell>
          <cell r="D12">
            <v>6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7</v>
          </cell>
          <cell r="D13">
            <v>7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6</v>
          </cell>
          <cell r="D16">
            <v>6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4</v>
          </cell>
          <cell r="D17">
            <v>4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4</v>
          </cell>
          <cell r="D18">
            <v>4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9</v>
          </cell>
          <cell r="D19">
            <v>9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8</v>
          </cell>
          <cell r="D20">
            <v>8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11</v>
          </cell>
          <cell r="D21">
            <v>11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15</v>
          </cell>
          <cell r="D23">
            <v>15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16</v>
          </cell>
          <cell r="D24">
            <v>16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41</v>
          </cell>
          <cell r="D25">
            <v>41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12</v>
          </cell>
          <cell r="D26">
            <v>12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23</v>
          </cell>
          <cell r="D27">
            <v>23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7</v>
          </cell>
          <cell r="D28">
            <v>7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8</v>
          </cell>
          <cell r="D29">
            <v>8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19</v>
          </cell>
          <cell r="D30">
            <v>19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22</v>
          </cell>
          <cell r="D31">
            <v>22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9</v>
          </cell>
          <cell r="D33">
            <v>9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20</v>
          </cell>
          <cell r="D34">
            <v>20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5</v>
          </cell>
          <cell r="D35">
            <v>5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452</v>
          </cell>
          <cell r="D36">
            <v>452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A.Koduru</v>
          </cell>
          <cell r="C4">
            <v>210</v>
          </cell>
          <cell r="D4">
            <v>421</v>
          </cell>
          <cell r="E4">
            <v>239</v>
          </cell>
          <cell r="F4">
            <v>-29</v>
          </cell>
          <cell r="G4">
            <v>100</v>
          </cell>
          <cell r="H4">
            <v>5</v>
          </cell>
        </row>
        <row r="5">
          <cell r="B5" t="str">
            <v>Anakapalli Rural</v>
          </cell>
          <cell r="C5">
            <v>548</v>
          </cell>
          <cell r="D5">
            <v>485</v>
          </cell>
          <cell r="E5">
            <v>236</v>
          </cell>
          <cell r="F5">
            <v>312</v>
          </cell>
          <cell r="G5">
            <v>43.065693430656935</v>
          </cell>
          <cell r="H5">
            <v>2.1532846715328469</v>
          </cell>
        </row>
        <row r="6">
          <cell r="B6" t="str">
            <v>Anakapalli Town</v>
          </cell>
          <cell r="C6">
            <v>709</v>
          </cell>
          <cell r="D6">
            <v>495</v>
          </cell>
          <cell r="E6">
            <v>266</v>
          </cell>
          <cell r="F6">
            <v>443</v>
          </cell>
          <cell r="G6">
            <v>37.517630465444284</v>
          </cell>
          <cell r="H6">
            <v>1.8758815232722144</v>
          </cell>
        </row>
        <row r="7">
          <cell r="B7" t="str">
            <v>Anakapalli Traffic</v>
          </cell>
          <cell r="C7">
            <v>232</v>
          </cell>
          <cell r="D7">
            <v>330</v>
          </cell>
          <cell r="E7">
            <v>125</v>
          </cell>
          <cell r="F7">
            <v>107</v>
          </cell>
          <cell r="G7">
            <v>53.879310344827587</v>
          </cell>
          <cell r="H7">
            <v>2.6939655172413794</v>
          </cell>
        </row>
        <row r="8">
          <cell r="B8" t="str">
            <v>Atchutapuram</v>
          </cell>
          <cell r="C8">
            <v>577</v>
          </cell>
          <cell r="D8">
            <v>359</v>
          </cell>
          <cell r="E8">
            <v>304</v>
          </cell>
          <cell r="F8">
            <v>273</v>
          </cell>
          <cell r="G8">
            <v>52.686308492201043</v>
          </cell>
          <cell r="H8">
            <v>2.6343154246100524</v>
          </cell>
        </row>
        <row r="9">
          <cell r="B9" t="str">
            <v>Butchiyyapeta</v>
          </cell>
          <cell r="C9">
            <v>342</v>
          </cell>
          <cell r="D9">
            <v>366</v>
          </cell>
          <cell r="E9">
            <v>333</v>
          </cell>
          <cell r="F9">
            <v>9</v>
          </cell>
          <cell r="G9">
            <v>97.368421052631575</v>
          </cell>
          <cell r="H9">
            <v>4.8684210526315788</v>
          </cell>
        </row>
        <row r="10">
          <cell r="B10" t="str">
            <v>Cheedikada</v>
          </cell>
          <cell r="C10">
            <v>220</v>
          </cell>
          <cell r="D10">
            <v>264</v>
          </cell>
          <cell r="E10">
            <v>216</v>
          </cell>
          <cell r="F10">
            <v>4</v>
          </cell>
          <cell r="G10">
            <v>98.181818181818187</v>
          </cell>
          <cell r="H10">
            <v>4.9090909090909101</v>
          </cell>
        </row>
        <row r="11">
          <cell r="B11" t="str">
            <v>Chodavaram</v>
          </cell>
          <cell r="C11">
            <v>654</v>
          </cell>
          <cell r="D11">
            <v>616</v>
          </cell>
          <cell r="E11">
            <v>469</v>
          </cell>
          <cell r="F11">
            <v>185</v>
          </cell>
          <cell r="G11">
            <v>71.712538226299699</v>
          </cell>
          <cell r="H11">
            <v>3.5856269113149852</v>
          </cell>
        </row>
        <row r="12">
          <cell r="B12" t="str">
            <v>Devarapalli</v>
          </cell>
          <cell r="C12">
            <v>354</v>
          </cell>
          <cell r="D12">
            <v>357</v>
          </cell>
          <cell r="E12">
            <v>302</v>
          </cell>
          <cell r="F12">
            <v>52</v>
          </cell>
          <cell r="G12">
            <v>85.31073446327683</v>
          </cell>
          <cell r="H12">
            <v>4.2655367231638417</v>
          </cell>
        </row>
        <row r="13">
          <cell r="B13" t="str">
            <v>Golugonda</v>
          </cell>
          <cell r="C13">
            <v>261</v>
          </cell>
          <cell r="D13">
            <v>192</v>
          </cell>
          <cell r="E13">
            <v>160</v>
          </cell>
          <cell r="F13">
            <v>101</v>
          </cell>
          <cell r="G13">
            <v>61.302681992337163</v>
          </cell>
          <cell r="H13">
            <v>3.0651340996168583</v>
          </cell>
        </row>
        <row r="14">
          <cell r="B14" t="str">
            <v>K.D.Peta</v>
          </cell>
          <cell r="C14">
            <v>178</v>
          </cell>
          <cell r="D14">
            <v>170</v>
          </cell>
          <cell r="E14">
            <v>159</v>
          </cell>
          <cell r="F14">
            <v>19</v>
          </cell>
          <cell r="G14">
            <v>89.325842696629209</v>
          </cell>
          <cell r="H14">
            <v>4.4662921348314608</v>
          </cell>
        </row>
        <row r="15">
          <cell r="B15" t="str">
            <v>K.Kotapadu</v>
          </cell>
          <cell r="C15">
            <v>230</v>
          </cell>
          <cell r="D15">
            <v>252</v>
          </cell>
          <cell r="E15">
            <v>170</v>
          </cell>
          <cell r="F15">
            <v>60</v>
          </cell>
          <cell r="G15">
            <v>73.913043478260875</v>
          </cell>
          <cell r="H15">
            <v>3.6956521739130439</v>
          </cell>
        </row>
        <row r="16">
          <cell r="B16" t="str">
            <v>Kasimkota</v>
          </cell>
          <cell r="C16">
            <v>653</v>
          </cell>
          <cell r="D16">
            <v>498</v>
          </cell>
          <cell r="E16">
            <v>406</v>
          </cell>
          <cell r="F16">
            <v>247</v>
          </cell>
          <cell r="G16">
            <v>62.174578866768762</v>
          </cell>
          <cell r="H16">
            <v>3.1087289433384382</v>
          </cell>
        </row>
        <row r="17">
          <cell r="B17" t="str">
            <v>Kotavurtla</v>
          </cell>
          <cell r="C17">
            <v>301</v>
          </cell>
          <cell r="D17">
            <v>340</v>
          </cell>
          <cell r="E17">
            <v>302</v>
          </cell>
          <cell r="F17">
            <v>-1</v>
          </cell>
          <cell r="G17">
            <v>100</v>
          </cell>
          <cell r="H17">
            <v>5</v>
          </cell>
        </row>
        <row r="18">
          <cell r="B18" t="str">
            <v>Kothakota</v>
          </cell>
          <cell r="C18">
            <v>191</v>
          </cell>
          <cell r="D18">
            <v>123</v>
          </cell>
          <cell r="E18">
            <v>98</v>
          </cell>
          <cell r="F18">
            <v>93</v>
          </cell>
          <cell r="G18">
            <v>51.308900523560212</v>
          </cell>
          <cell r="H18">
            <v>2.5654450261780108</v>
          </cell>
        </row>
        <row r="19">
          <cell r="B19" t="str">
            <v>Mahila UPS, Anakapalli</v>
          </cell>
          <cell r="C19">
            <v>141</v>
          </cell>
          <cell r="D19">
            <v>174</v>
          </cell>
          <cell r="E19">
            <v>48</v>
          </cell>
          <cell r="F19">
            <v>93</v>
          </cell>
          <cell r="G19">
            <v>34.042553191489361</v>
          </cell>
          <cell r="H19">
            <v>1.7021276595744681</v>
          </cell>
        </row>
        <row r="20">
          <cell r="B20" t="str">
            <v>Makavarapalem</v>
          </cell>
          <cell r="C20">
            <v>383</v>
          </cell>
          <cell r="D20">
            <v>400</v>
          </cell>
          <cell r="E20">
            <v>297</v>
          </cell>
          <cell r="F20">
            <v>86</v>
          </cell>
          <cell r="G20">
            <v>77.545691906005217</v>
          </cell>
          <cell r="H20">
            <v>3.877284595300261</v>
          </cell>
        </row>
        <row r="21">
          <cell r="B21" t="str">
            <v>Munagapaka</v>
          </cell>
          <cell r="C21">
            <v>428</v>
          </cell>
          <cell r="D21">
            <v>392</v>
          </cell>
          <cell r="E21">
            <v>224</v>
          </cell>
          <cell r="F21">
            <v>204</v>
          </cell>
          <cell r="G21">
            <v>52.336448598130843</v>
          </cell>
          <cell r="H21">
            <v>2.6168224299065423</v>
          </cell>
        </row>
        <row r="22">
          <cell r="B22" t="str">
            <v>Nakkapalli</v>
          </cell>
          <cell r="C22">
            <v>551</v>
          </cell>
          <cell r="D22">
            <v>715</v>
          </cell>
          <cell r="E22">
            <v>521</v>
          </cell>
          <cell r="F22">
            <v>30</v>
          </cell>
          <cell r="G22">
            <v>94.555353901996369</v>
          </cell>
          <cell r="H22">
            <v>4.7277676950998186</v>
          </cell>
        </row>
        <row r="23">
          <cell r="B23" t="str">
            <v>Narsipatnam Rural</v>
          </cell>
          <cell r="C23">
            <v>222</v>
          </cell>
          <cell r="D23">
            <v>179</v>
          </cell>
          <cell r="E23">
            <v>158</v>
          </cell>
          <cell r="F23">
            <v>64</v>
          </cell>
          <cell r="G23">
            <v>71.171171171171167</v>
          </cell>
          <cell r="H23">
            <v>3.5585585585585586</v>
          </cell>
        </row>
        <row r="24">
          <cell r="B24" t="str">
            <v>Narsipatnam Town</v>
          </cell>
          <cell r="C24">
            <v>498</v>
          </cell>
          <cell r="D24">
            <v>268</v>
          </cell>
          <cell r="E24">
            <v>191</v>
          </cell>
          <cell r="F24">
            <v>307</v>
          </cell>
          <cell r="G24">
            <v>38.353413654618471</v>
          </cell>
          <cell r="H24">
            <v>1.9176706827309236</v>
          </cell>
        </row>
        <row r="25">
          <cell r="B25" t="str">
            <v>Nathavaram</v>
          </cell>
          <cell r="C25">
            <v>310</v>
          </cell>
          <cell r="D25">
            <v>190</v>
          </cell>
          <cell r="E25">
            <v>136</v>
          </cell>
          <cell r="F25">
            <v>174</v>
          </cell>
          <cell r="G25">
            <v>43.87096774193548</v>
          </cell>
          <cell r="H25">
            <v>2.193548387096774</v>
          </cell>
        </row>
        <row r="26">
          <cell r="B26" t="str">
            <v>Parawada</v>
          </cell>
          <cell r="C26">
            <v>799</v>
          </cell>
          <cell r="D26">
            <v>475</v>
          </cell>
          <cell r="E26">
            <v>304</v>
          </cell>
          <cell r="F26">
            <v>495</v>
          </cell>
          <cell r="G26">
            <v>38.047559449311642</v>
          </cell>
          <cell r="H26">
            <v>1.9023779724655823</v>
          </cell>
        </row>
        <row r="27">
          <cell r="B27" t="str">
            <v>Payakaraopeta</v>
          </cell>
          <cell r="C27">
            <v>760</v>
          </cell>
          <cell r="D27">
            <v>711</v>
          </cell>
          <cell r="E27">
            <v>609</v>
          </cell>
          <cell r="F27">
            <v>151</v>
          </cell>
          <cell r="G27">
            <v>80.131578947368425</v>
          </cell>
          <cell r="H27">
            <v>4.0065789473684212</v>
          </cell>
        </row>
        <row r="28">
          <cell r="B28" t="str">
            <v>Rambilli</v>
          </cell>
          <cell r="C28">
            <v>401</v>
          </cell>
          <cell r="D28">
            <v>310</v>
          </cell>
          <cell r="E28">
            <v>224</v>
          </cell>
          <cell r="F28">
            <v>177</v>
          </cell>
          <cell r="G28">
            <v>55.860349127182047</v>
          </cell>
          <cell r="H28">
            <v>2.7930174563591024</v>
          </cell>
        </row>
        <row r="29">
          <cell r="B29" t="str">
            <v>Ravikamatham</v>
          </cell>
          <cell r="C29">
            <v>218</v>
          </cell>
          <cell r="D29">
            <v>242</v>
          </cell>
          <cell r="E29">
            <v>203</v>
          </cell>
          <cell r="F29">
            <v>15</v>
          </cell>
          <cell r="G29">
            <v>93.11926605504587</v>
          </cell>
          <cell r="H29">
            <v>4.6559633027522933</v>
          </cell>
        </row>
        <row r="30">
          <cell r="B30" t="str">
            <v>Rolugunta</v>
          </cell>
          <cell r="C30">
            <v>232</v>
          </cell>
          <cell r="D30">
            <v>200</v>
          </cell>
          <cell r="E30">
            <v>102</v>
          </cell>
          <cell r="F30">
            <v>130</v>
          </cell>
          <cell r="G30">
            <v>43.96551724137931</v>
          </cell>
          <cell r="H30">
            <v>2.1982758620689657</v>
          </cell>
        </row>
        <row r="31">
          <cell r="B31" t="str">
            <v>S.Rayavaram</v>
          </cell>
          <cell r="C31">
            <v>467</v>
          </cell>
          <cell r="D31">
            <v>407</v>
          </cell>
          <cell r="E31">
            <v>338</v>
          </cell>
          <cell r="F31">
            <v>129</v>
          </cell>
          <cell r="G31">
            <v>72.376873661670231</v>
          </cell>
          <cell r="H31">
            <v>3.6188436830835116</v>
          </cell>
        </row>
        <row r="32">
          <cell r="B32" t="str">
            <v>Sabbavaram</v>
          </cell>
          <cell r="C32">
            <v>533</v>
          </cell>
          <cell r="D32">
            <v>294</v>
          </cell>
          <cell r="E32">
            <v>235</v>
          </cell>
          <cell r="F32">
            <v>298</v>
          </cell>
          <cell r="G32">
            <v>44.090056285178235</v>
          </cell>
          <cell r="H32">
            <v>2.204502814258912</v>
          </cell>
        </row>
        <row r="33">
          <cell r="B33" t="str">
            <v>V.Madugula</v>
          </cell>
          <cell r="C33">
            <v>324</v>
          </cell>
          <cell r="D33">
            <v>591</v>
          </cell>
          <cell r="E33">
            <v>301</v>
          </cell>
          <cell r="F33">
            <v>23</v>
          </cell>
          <cell r="G33">
            <v>92.901234567901241</v>
          </cell>
          <cell r="H33">
            <v>4.6450617283950626</v>
          </cell>
        </row>
        <row r="34">
          <cell r="B34" t="str">
            <v>Yelamanchili Rural</v>
          </cell>
          <cell r="C34">
            <v>339</v>
          </cell>
          <cell r="D34">
            <v>345</v>
          </cell>
          <cell r="E34">
            <v>321</v>
          </cell>
          <cell r="F34">
            <v>18</v>
          </cell>
          <cell r="G34">
            <v>94.690265486725664</v>
          </cell>
          <cell r="H34">
            <v>4.7345132743362832</v>
          </cell>
        </row>
        <row r="35">
          <cell r="B35" t="str">
            <v>Yelamanchili Town</v>
          </cell>
          <cell r="C35">
            <v>254</v>
          </cell>
          <cell r="D35">
            <v>303</v>
          </cell>
          <cell r="E35">
            <v>207</v>
          </cell>
          <cell r="F35">
            <v>47</v>
          </cell>
          <cell r="G35">
            <v>81.496062992125985</v>
          </cell>
          <cell r="H35">
            <v>4.0748031496062991</v>
          </cell>
        </row>
        <row r="36">
          <cell r="B36" t="str">
            <v>Yelamanchili Traffic</v>
          </cell>
          <cell r="C36">
            <v>46</v>
          </cell>
          <cell r="D36">
            <v>48</v>
          </cell>
          <cell r="E36">
            <v>38</v>
          </cell>
          <cell r="F36">
            <v>8</v>
          </cell>
          <cell r="G36">
            <v>82.608695652173907</v>
          </cell>
          <cell r="H36">
            <v>4.1304347826086953</v>
          </cell>
        </row>
        <row r="37">
          <cell r="C37">
            <v>12566</v>
          </cell>
          <cell r="D37">
            <v>11512</v>
          </cell>
          <cell r="E37">
            <v>8242</v>
          </cell>
          <cell r="F37">
            <v>4324</v>
          </cell>
          <cell r="G37">
            <v>68.754865510488543</v>
          </cell>
          <cell r="H37">
            <v>3.4377432755244279</v>
          </cell>
        </row>
      </sheetData>
      <sheetData sheetId="10">
        <row r="2">
          <cell r="B2" t="str">
            <v>PS Name</v>
          </cell>
          <cell r="C2" t="str">
            <v xml:space="preserve">Total FIRS 
Registered </v>
          </cell>
          <cell r="D2" t="str">
            <v>Total no. of Alerts</v>
          </cell>
          <cell r="E2" t="str">
            <v>Raw Value</v>
          </cell>
          <cell r="F2" t="str">
            <v>Marks</v>
          </cell>
        </row>
        <row r="3">
          <cell r="B3" t="str">
            <v>A.Koduru</v>
          </cell>
          <cell r="E3">
            <v>100</v>
          </cell>
          <cell r="F3">
            <v>10</v>
          </cell>
        </row>
        <row r="4">
          <cell r="B4" t="str">
            <v>Anakapalli Rural</v>
          </cell>
          <cell r="E4">
            <v>100</v>
          </cell>
          <cell r="F4">
            <v>10</v>
          </cell>
        </row>
        <row r="5">
          <cell r="B5" t="str">
            <v>Anakapalli Town</v>
          </cell>
          <cell r="E5">
            <v>100</v>
          </cell>
          <cell r="F5">
            <v>10</v>
          </cell>
        </row>
        <row r="6">
          <cell r="B6" t="str">
            <v>Anakapalli Traffic</v>
          </cell>
          <cell r="E6">
            <v>100</v>
          </cell>
          <cell r="F6">
            <v>10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100</v>
          </cell>
          <cell r="F7">
            <v>10</v>
          </cell>
        </row>
        <row r="8">
          <cell r="B8" t="str">
            <v>Butchiyyapeta</v>
          </cell>
          <cell r="E8">
            <v>100</v>
          </cell>
          <cell r="F8">
            <v>10</v>
          </cell>
        </row>
        <row r="9">
          <cell r="B9" t="str">
            <v>Cheedikada</v>
          </cell>
          <cell r="E9">
            <v>100</v>
          </cell>
          <cell r="F9">
            <v>10</v>
          </cell>
        </row>
        <row r="10">
          <cell r="B10" t="str">
            <v>Chodavaram</v>
          </cell>
          <cell r="E10">
            <v>100</v>
          </cell>
          <cell r="F10">
            <v>10</v>
          </cell>
        </row>
        <row r="11">
          <cell r="B11" t="str">
            <v>Devarapalli</v>
          </cell>
          <cell r="E11">
            <v>100</v>
          </cell>
          <cell r="F11">
            <v>10</v>
          </cell>
        </row>
        <row r="12">
          <cell r="B12" t="str">
            <v>Golugonda</v>
          </cell>
          <cell r="E12">
            <v>100</v>
          </cell>
          <cell r="F12">
            <v>10</v>
          </cell>
        </row>
        <row r="13">
          <cell r="B13" t="str">
            <v>K.D.Peta</v>
          </cell>
          <cell r="E13">
            <v>100</v>
          </cell>
          <cell r="F13">
            <v>10</v>
          </cell>
        </row>
        <row r="14">
          <cell r="B14" t="str">
            <v>K.Kotapadu</v>
          </cell>
          <cell r="E14">
            <v>100</v>
          </cell>
          <cell r="F14">
            <v>10</v>
          </cell>
        </row>
        <row r="15">
          <cell r="B15" t="str">
            <v>Kasimkota</v>
          </cell>
          <cell r="C15">
            <v>2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Kotavurtla</v>
          </cell>
          <cell r="E16">
            <v>100</v>
          </cell>
          <cell r="F16">
            <v>10</v>
          </cell>
        </row>
        <row r="17">
          <cell r="B17" t="str">
            <v>Kothakota</v>
          </cell>
          <cell r="C17">
            <v>1</v>
          </cell>
          <cell r="D17">
            <v>1</v>
          </cell>
          <cell r="E17">
            <v>100</v>
          </cell>
          <cell r="F17">
            <v>10</v>
          </cell>
        </row>
        <row r="18">
          <cell r="B18" t="str">
            <v>Mahila UPS, Anakapalli</v>
          </cell>
          <cell r="E18">
            <v>100</v>
          </cell>
          <cell r="F18">
            <v>10</v>
          </cell>
        </row>
        <row r="19">
          <cell r="B19" t="str">
            <v>Makavarapalem</v>
          </cell>
          <cell r="E19">
            <v>100</v>
          </cell>
          <cell r="F19">
            <v>10</v>
          </cell>
        </row>
        <row r="20">
          <cell r="B20" t="str">
            <v>Munagapaka</v>
          </cell>
          <cell r="E20">
            <v>100</v>
          </cell>
          <cell r="F20">
            <v>10</v>
          </cell>
        </row>
        <row r="21">
          <cell r="B21" t="str">
            <v>Nakkapalli</v>
          </cell>
          <cell r="E21">
            <v>100</v>
          </cell>
          <cell r="F21">
            <v>10</v>
          </cell>
        </row>
        <row r="22">
          <cell r="B22" t="str">
            <v>Narsipatnam Rural</v>
          </cell>
          <cell r="E22">
            <v>100</v>
          </cell>
          <cell r="F22">
            <v>10</v>
          </cell>
        </row>
        <row r="23">
          <cell r="B23" t="str">
            <v>Narsipatnam Town</v>
          </cell>
          <cell r="E23">
            <v>100</v>
          </cell>
          <cell r="F23">
            <v>10</v>
          </cell>
        </row>
        <row r="24">
          <cell r="B24" t="str">
            <v>Nathavaram</v>
          </cell>
          <cell r="C24">
            <v>1</v>
          </cell>
          <cell r="D24">
            <v>1</v>
          </cell>
          <cell r="E24">
            <v>100</v>
          </cell>
          <cell r="F24">
            <v>10</v>
          </cell>
        </row>
        <row r="25">
          <cell r="B25" t="str">
            <v>Parawada</v>
          </cell>
          <cell r="E25">
            <v>100</v>
          </cell>
          <cell r="F25">
            <v>10</v>
          </cell>
        </row>
        <row r="26">
          <cell r="B26" t="str">
            <v>Payakaraopeta</v>
          </cell>
          <cell r="E26">
            <v>100</v>
          </cell>
          <cell r="F26">
            <v>10</v>
          </cell>
        </row>
        <row r="27">
          <cell r="B27" t="str">
            <v>Rambilli</v>
          </cell>
          <cell r="E27">
            <v>100</v>
          </cell>
          <cell r="F27">
            <v>10</v>
          </cell>
        </row>
        <row r="28">
          <cell r="B28" t="str">
            <v>Ravikamatham</v>
          </cell>
          <cell r="E28">
            <v>100</v>
          </cell>
          <cell r="F28">
            <v>10</v>
          </cell>
        </row>
        <row r="29">
          <cell r="B29" t="str">
            <v>Rolugunta</v>
          </cell>
          <cell r="E29">
            <v>100</v>
          </cell>
          <cell r="F29">
            <v>10</v>
          </cell>
        </row>
        <row r="30">
          <cell r="B30" t="str">
            <v>S.Rayavaram</v>
          </cell>
          <cell r="C30">
            <v>1</v>
          </cell>
          <cell r="D30">
            <v>1</v>
          </cell>
          <cell r="E30">
            <v>100</v>
          </cell>
          <cell r="F30">
            <v>10</v>
          </cell>
        </row>
        <row r="31">
          <cell r="B31" t="str">
            <v>Sabbavaram</v>
          </cell>
          <cell r="E31">
            <v>100</v>
          </cell>
          <cell r="F31">
            <v>10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100</v>
          </cell>
          <cell r="F32">
            <v>10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100</v>
          </cell>
          <cell r="F33">
            <v>10</v>
          </cell>
        </row>
        <row r="34">
          <cell r="B34" t="str">
            <v>Yelamanchili Town</v>
          </cell>
          <cell r="E34">
            <v>100</v>
          </cell>
          <cell r="F34">
            <v>10</v>
          </cell>
        </row>
        <row r="35">
          <cell r="B35" t="str">
            <v>Yelamanchili Traffic</v>
          </cell>
          <cell r="E35">
            <v>100</v>
          </cell>
          <cell r="F35">
            <v>10</v>
          </cell>
        </row>
        <row r="36">
          <cell r="C36">
            <v>8</v>
          </cell>
          <cell r="D36">
            <v>6</v>
          </cell>
          <cell r="E36">
            <v>96.969696969696969</v>
          </cell>
          <cell r="F36">
            <v>9.6969696969696972</v>
          </cell>
        </row>
      </sheetData>
      <sheetData sheetId="11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A.Koduru</v>
          </cell>
          <cell r="H3">
            <v>0</v>
          </cell>
          <cell r="I3">
            <v>0</v>
          </cell>
          <cell r="J3" t="e">
            <v>#DIV/0!</v>
          </cell>
          <cell r="K3">
            <v>0</v>
          </cell>
          <cell r="L3">
            <v>0</v>
          </cell>
        </row>
        <row r="4">
          <cell r="B4" t="str">
            <v>Anakapalli Rural</v>
          </cell>
          <cell r="H4">
            <v>0</v>
          </cell>
          <cell r="I4">
            <v>0</v>
          </cell>
          <cell r="J4" t="e">
            <v>#DIV/0!</v>
          </cell>
          <cell r="K4">
            <v>0</v>
          </cell>
          <cell r="L4">
            <v>0</v>
          </cell>
        </row>
        <row r="5">
          <cell r="B5" t="str">
            <v>Anakapalli Town</v>
          </cell>
          <cell r="H5">
            <v>0</v>
          </cell>
          <cell r="I5">
            <v>0</v>
          </cell>
          <cell r="J5" t="e">
            <v>#DIV/0!</v>
          </cell>
          <cell r="K5">
            <v>0</v>
          </cell>
          <cell r="L5">
            <v>0</v>
          </cell>
        </row>
        <row r="6">
          <cell r="B6" t="str">
            <v>Anakapalli Traffic</v>
          </cell>
          <cell r="H6">
            <v>0</v>
          </cell>
          <cell r="I6">
            <v>0</v>
          </cell>
          <cell r="J6" t="e">
            <v>#DIV/0!</v>
          </cell>
          <cell r="K6">
            <v>0</v>
          </cell>
          <cell r="L6">
            <v>0</v>
          </cell>
        </row>
        <row r="7">
          <cell r="B7" t="str">
            <v>Atchutapuram</v>
          </cell>
          <cell r="H7">
            <v>0</v>
          </cell>
          <cell r="I7">
            <v>0</v>
          </cell>
          <cell r="J7" t="e">
            <v>#DIV/0!</v>
          </cell>
          <cell r="K7">
            <v>0</v>
          </cell>
          <cell r="L7">
            <v>0</v>
          </cell>
        </row>
        <row r="8">
          <cell r="B8" t="str">
            <v>Butchiyyapeta</v>
          </cell>
          <cell r="H8">
            <v>0</v>
          </cell>
          <cell r="I8">
            <v>0</v>
          </cell>
          <cell r="J8" t="e">
            <v>#DIV/0!</v>
          </cell>
          <cell r="K8">
            <v>0</v>
          </cell>
          <cell r="L8">
            <v>0</v>
          </cell>
        </row>
        <row r="9">
          <cell r="B9" t="str">
            <v>Cheedikada</v>
          </cell>
          <cell r="H9">
            <v>0</v>
          </cell>
          <cell r="I9">
            <v>0</v>
          </cell>
          <cell r="J9" t="e">
            <v>#DIV/0!</v>
          </cell>
          <cell r="K9">
            <v>0</v>
          </cell>
          <cell r="L9">
            <v>0</v>
          </cell>
        </row>
        <row r="10">
          <cell r="B10" t="str">
            <v>Chodavaram</v>
          </cell>
          <cell r="H10">
            <v>0</v>
          </cell>
          <cell r="I10">
            <v>0</v>
          </cell>
          <cell r="J10" t="e">
            <v>#DIV/0!</v>
          </cell>
          <cell r="K10">
            <v>0</v>
          </cell>
          <cell r="L10">
            <v>0</v>
          </cell>
        </row>
        <row r="11">
          <cell r="B11" t="str">
            <v>Devarapalli</v>
          </cell>
          <cell r="H11">
            <v>0</v>
          </cell>
          <cell r="I11">
            <v>0</v>
          </cell>
          <cell r="J11" t="e">
            <v>#DIV/0!</v>
          </cell>
          <cell r="K11">
            <v>0</v>
          </cell>
          <cell r="L11">
            <v>0</v>
          </cell>
        </row>
        <row r="12">
          <cell r="B12" t="str">
            <v>Golugonda</v>
          </cell>
          <cell r="H12">
            <v>0</v>
          </cell>
          <cell r="I12">
            <v>0</v>
          </cell>
          <cell r="J12" t="e">
            <v>#DIV/0!</v>
          </cell>
          <cell r="K12">
            <v>0</v>
          </cell>
          <cell r="L12">
            <v>0</v>
          </cell>
        </row>
        <row r="13">
          <cell r="B13" t="str">
            <v>K.D.Peta</v>
          </cell>
          <cell r="H13">
            <v>0</v>
          </cell>
          <cell r="I13">
            <v>0</v>
          </cell>
          <cell r="J13" t="e">
            <v>#DIV/0!</v>
          </cell>
          <cell r="K13">
            <v>0</v>
          </cell>
          <cell r="L13">
            <v>0</v>
          </cell>
        </row>
        <row r="14">
          <cell r="B14" t="str">
            <v>K.Kotapadu</v>
          </cell>
          <cell r="H14">
            <v>0</v>
          </cell>
          <cell r="I14">
            <v>0</v>
          </cell>
          <cell r="J14" t="e">
            <v>#DIV/0!</v>
          </cell>
          <cell r="K14">
            <v>0</v>
          </cell>
          <cell r="L14">
            <v>0</v>
          </cell>
        </row>
        <row r="15">
          <cell r="B15" t="str">
            <v>Kasimkota</v>
          </cell>
          <cell r="H15">
            <v>0</v>
          </cell>
          <cell r="I15">
            <v>0</v>
          </cell>
          <cell r="J15" t="e">
            <v>#DIV/0!</v>
          </cell>
          <cell r="K15">
            <v>0</v>
          </cell>
          <cell r="L15">
            <v>0</v>
          </cell>
        </row>
        <row r="16">
          <cell r="B16" t="str">
            <v>Kotavurtla</v>
          </cell>
          <cell r="H16">
            <v>0</v>
          </cell>
          <cell r="I16">
            <v>0</v>
          </cell>
          <cell r="J16" t="e">
            <v>#DIV/0!</v>
          </cell>
          <cell r="K16">
            <v>0</v>
          </cell>
          <cell r="L16">
            <v>0</v>
          </cell>
        </row>
        <row r="17">
          <cell r="B17" t="str">
            <v>Kothakota</v>
          </cell>
          <cell r="H17">
            <v>0</v>
          </cell>
          <cell r="I17">
            <v>0</v>
          </cell>
          <cell r="J17" t="e">
            <v>#DIV/0!</v>
          </cell>
          <cell r="K17">
            <v>0</v>
          </cell>
          <cell r="L17">
            <v>0</v>
          </cell>
        </row>
        <row r="18">
          <cell r="B18" t="str">
            <v>Mahila UPS, Anakapalli</v>
          </cell>
          <cell r="H18">
            <v>0</v>
          </cell>
          <cell r="I18">
            <v>0</v>
          </cell>
          <cell r="J18" t="e">
            <v>#DIV/0!</v>
          </cell>
          <cell r="K18">
            <v>0</v>
          </cell>
          <cell r="L18">
            <v>0</v>
          </cell>
        </row>
        <row r="19">
          <cell r="B19" t="str">
            <v>Makavarapalem</v>
          </cell>
          <cell r="H19">
            <v>0</v>
          </cell>
          <cell r="I19">
            <v>0</v>
          </cell>
          <cell r="J19" t="e">
            <v>#DIV/0!</v>
          </cell>
          <cell r="K19">
            <v>0</v>
          </cell>
          <cell r="L19">
            <v>0</v>
          </cell>
        </row>
        <row r="20">
          <cell r="B20" t="str">
            <v>Munagapaka</v>
          </cell>
          <cell r="H20">
            <v>0</v>
          </cell>
          <cell r="I20">
            <v>0</v>
          </cell>
          <cell r="J20" t="e">
            <v>#DIV/0!</v>
          </cell>
          <cell r="K20">
            <v>0</v>
          </cell>
          <cell r="L20">
            <v>0</v>
          </cell>
        </row>
        <row r="21">
          <cell r="B21" t="str">
            <v>Nakkapalli</v>
          </cell>
          <cell r="H21">
            <v>0</v>
          </cell>
          <cell r="I21">
            <v>0</v>
          </cell>
          <cell r="J21" t="e">
            <v>#DIV/0!</v>
          </cell>
          <cell r="K21">
            <v>0</v>
          </cell>
          <cell r="L21">
            <v>0</v>
          </cell>
        </row>
        <row r="22">
          <cell r="B22" t="str">
            <v>Narsipatnam Rural</v>
          </cell>
          <cell r="H22">
            <v>0</v>
          </cell>
          <cell r="I22">
            <v>0</v>
          </cell>
          <cell r="J22" t="e">
            <v>#DIV/0!</v>
          </cell>
          <cell r="K22">
            <v>0</v>
          </cell>
          <cell r="L22">
            <v>0</v>
          </cell>
        </row>
        <row r="23">
          <cell r="B23" t="str">
            <v>Narsipatnam Town</v>
          </cell>
          <cell r="H23">
            <v>0</v>
          </cell>
          <cell r="I23">
            <v>0</v>
          </cell>
          <cell r="J23" t="e">
            <v>#DIV/0!</v>
          </cell>
          <cell r="K23">
            <v>0</v>
          </cell>
          <cell r="L23">
            <v>0</v>
          </cell>
        </row>
        <row r="24">
          <cell r="B24" t="str">
            <v>Nathavaram</v>
          </cell>
          <cell r="H24">
            <v>0</v>
          </cell>
          <cell r="I24">
            <v>0</v>
          </cell>
          <cell r="J24" t="e">
            <v>#DIV/0!</v>
          </cell>
          <cell r="K24">
            <v>0</v>
          </cell>
          <cell r="L24">
            <v>0</v>
          </cell>
        </row>
        <row r="25">
          <cell r="B25" t="str">
            <v>Parawada</v>
          </cell>
          <cell r="H25">
            <v>0</v>
          </cell>
          <cell r="I25">
            <v>0</v>
          </cell>
          <cell r="J25" t="e">
            <v>#DIV/0!</v>
          </cell>
          <cell r="K25">
            <v>0</v>
          </cell>
          <cell r="L25">
            <v>0</v>
          </cell>
        </row>
        <row r="26">
          <cell r="B26" t="str">
            <v>Payakaraopeta</v>
          </cell>
          <cell r="H26">
            <v>0</v>
          </cell>
          <cell r="I26">
            <v>0</v>
          </cell>
          <cell r="J26" t="e">
            <v>#DIV/0!</v>
          </cell>
          <cell r="K26">
            <v>0</v>
          </cell>
          <cell r="L26">
            <v>0</v>
          </cell>
        </row>
        <row r="27">
          <cell r="B27" t="str">
            <v>Rambilli</v>
          </cell>
          <cell r="H27">
            <v>0</v>
          </cell>
          <cell r="I27">
            <v>0</v>
          </cell>
          <cell r="J27" t="e">
            <v>#DIV/0!</v>
          </cell>
          <cell r="K27">
            <v>0</v>
          </cell>
          <cell r="L27">
            <v>0</v>
          </cell>
        </row>
        <row r="28">
          <cell r="B28" t="str">
            <v>Ravikamatham</v>
          </cell>
          <cell r="H28">
            <v>0</v>
          </cell>
          <cell r="I28">
            <v>0</v>
          </cell>
          <cell r="J28" t="e">
            <v>#DIV/0!</v>
          </cell>
          <cell r="K28">
            <v>0</v>
          </cell>
          <cell r="L28">
            <v>0</v>
          </cell>
        </row>
        <row r="29">
          <cell r="B29" t="str">
            <v>Rolugunta</v>
          </cell>
          <cell r="H29">
            <v>0</v>
          </cell>
          <cell r="I29">
            <v>0</v>
          </cell>
          <cell r="J29" t="e">
            <v>#DIV/0!</v>
          </cell>
          <cell r="K29">
            <v>0</v>
          </cell>
          <cell r="L29">
            <v>0</v>
          </cell>
        </row>
        <row r="30">
          <cell r="B30" t="str">
            <v>S.Rayavaram</v>
          </cell>
          <cell r="H30">
            <v>0</v>
          </cell>
          <cell r="I30">
            <v>0</v>
          </cell>
          <cell r="J30" t="e">
            <v>#DIV/0!</v>
          </cell>
          <cell r="K30">
            <v>0</v>
          </cell>
          <cell r="L30">
            <v>0</v>
          </cell>
        </row>
        <row r="31">
          <cell r="B31" t="str">
            <v>Sabbavaram</v>
          </cell>
          <cell r="H31">
            <v>0</v>
          </cell>
          <cell r="I31">
            <v>0</v>
          </cell>
          <cell r="J31" t="e">
            <v>#DIV/0!</v>
          </cell>
          <cell r="K31">
            <v>0</v>
          </cell>
          <cell r="L31">
            <v>0</v>
          </cell>
        </row>
        <row r="32">
          <cell r="B32" t="str">
            <v>V.Madugula</v>
          </cell>
          <cell r="H32">
            <v>0</v>
          </cell>
          <cell r="I32">
            <v>0</v>
          </cell>
          <cell r="J32" t="e">
            <v>#DIV/0!</v>
          </cell>
          <cell r="K32">
            <v>0</v>
          </cell>
          <cell r="L32">
            <v>0</v>
          </cell>
        </row>
        <row r="33">
          <cell r="B33" t="str">
            <v>Yelamanchili Rural</v>
          </cell>
          <cell r="H33">
            <v>0</v>
          </cell>
          <cell r="I33">
            <v>0</v>
          </cell>
          <cell r="J33" t="e">
            <v>#DIV/0!</v>
          </cell>
          <cell r="K33">
            <v>0</v>
          </cell>
          <cell r="L33">
            <v>0</v>
          </cell>
        </row>
        <row r="34">
          <cell r="B34" t="str">
            <v>Yelamanchili Town</v>
          </cell>
          <cell r="H34">
            <v>0</v>
          </cell>
          <cell r="I34">
            <v>0</v>
          </cell>
          <cell r="J34" t="e">
            <v>#DIV/0!</v>
          </cell>
          <cell r="K34">
            <v>0</v>
          </cell>
          <cell r="L34">
            <v>0</v>
          </cell>
        </row>
        <row r="35">
          <cell r="B35" t="str">
            <v>Yelamanchili Traffic</v>
          </cell>
          <cell r="H35">
            <v>0</v>
          </cell>
          <cell r="I35">
            <v>0</v>
          </cell>
          <cell r="J35" t="e">
            <v>#DIV/0!</v>
          </cell>
          <cell r="K35">
            <v>0</v>
          </cell>
          <cell r="L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>
            <v>0</v>
          </cell>
          <cell r="L36">
            <v>0</v>
          </cell>
        </row>
      </sheetData>
      <sheetData sheetId="12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A.Koduru</v>
          </cell>
          <cell r="C4">
            <v>2</v>
          </cell>
          <cell r="D4">
            <v>1</v>
          </cell>
          <cell r="E4">
            <v>50</v>
          </cell>
          <cell r="F4">
            <v>2.5</v>
          </cell>
        </row>
        <row r="5">
          <cell r="B5" t="str">
            <v>Anakapalli Rural</v>
          </cell>
          <cell r="C5">
            <v>3</v>
          </cell>
          <cell r="D5">
            <v>1</v>
          </cell>
          <cell r="E5">
            <v>33.333333333333336</v>
          </cell>
          <cell r="F5">
            <v>1.666666666666667</v>
          </cell>
        </row>
        <row r="6">
          <cell r="B6" t="str">
            <v>Anakapalli Town</v>
          </cell>
          <cell r="C6">
            <v>4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100</v>
          </cell>
          <cell r="F7">
            <v>5</v>
          </cell>
        </row>
        <row r="8">
          <cell r="B8" t="str">
            <v>Atchutapuram</v>
          </cell>
          <cell r="C8">
            <v>1</v>
          </cell>
          <cell r="D8">
            <v>1</v>
          </cell>
          <cell r="E8">
            <v>100</v>
          </cell>
          <cell r="F8">
            <v>5</v>
          </cell>
        </row>
        <row r="9">
          <cell r="B9" t="str">
            <v>Butchiyyapeta</v>
          </cell>
          <cell r="C9">
            <v>4</v>
          </cell>
          <cell r="D9">
            <v>2</v>
          </cell>
          <cell r="E9">
            <v>50</v>
          </cell>
          <cell r="F9">
            <v>2.5</v>
          </cell>
        </row>
        <row r="10">
          <cell r="B10" t="str">
            <v>Cheedikada</v>
          </cell>
          <cell r="C10">
            <v>2</v>
          </cell>
          <cell r="D10">
            <v>1</v>
          </cell>
          <cell r="E10">
            <v>50</v>
          </cell>
          <cell r="F10">
            <v>2.5</v>
          </cell>
        </row>
        <row r="11">
          <cell r="B11" t="str">
            <v>Chodavaram</v>
          </cell>
          <cell r="C11">
            <v>3</v>
          </cell>
          <cell r="D11">
            <v>2</v>
          </cell>
          <cell r="E11">
            <v>66.666666666666671</v>
          </cell>
          <cell r="F11">
            <v>3.3333333333333339</v>
          </cell>
        </row>
        <row r="12">
          <cell r="B12" t="str">
            <v>Devarapalli</v>
          </cell>
          <cell r="C12">
            <v>1</v>
          </cell>
          <cell r="D12">
            <v>1</v>
          </cell>
          <cell r="E12">
            <v>100</v>
          </cell>
          <cell r="F12">
            <v>5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100</v>
          </cell>
          <cell r="F13">
            <v>5</v>
          </cell>
        </row>
        <row r="14">
          <cell r="B14" t="str">
            <v>K.D.Peta</v>
          </cell>
          <cell r="C14">
            <v>3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K.Kotapadu</v>
          </cell>
          <cell r="C15">
            <v>1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Kasimkota</v>
          </cell>
          <cell r="C16">
            <v>5</v>
          </cell>
          <cell r="D16">
            <v>1</v>
          </cell>
          <cell r="E16">
            <v>20</v>
          </cell>
          <cell r="F16">
            <v>1</v>
          </cell>
        </row>
        <row r="17">
          <cell r="B17" t="str">
            <v>Kotavurtla</v>
          </cell>
          <cell r="C17">
            <v>2</v>
          </cell>
          <cell r="D17">
            <v>1</v>
          </cell>
          <cell r="E17">
            <v>50</v>
          </cell>
          <cell r="F17">
            <v>2.5</v>
          </cell>
        </row>
        <row r="18">
          <cell r="B18" t="str">
            <v>Kothakota</v>
          </cell>
          <cell r="C18">
            <v>2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Mahila UPS, Anakapalli</v>
          </cell>
          <cell r="C19">
            <v>0</v>
          </cell>
          <cell r="D19">
            <v>0</v>
          </cell>
          <cell r="E19">
            <v>100</v>
          </cell>
          <cell r="F19">
            <v>5</v>
          </cell>
        </row>
        <row r="20">
          <cell r="B20" t="str">
            <v>Makavarapalem</v>
          </cell>
          <cell r="C20">
            <v>1</v>
          </cell>
          <cell r="D20">
            <v>1</v>
          </cell>
          <cell r="E20">
            <v>100</v>
          </cell>
          <cell r="F20">
            <v>5</v>
          </cell>
        </row>
        <row r="21">
          <cell r="B21" t="str">
            <v>Munagapaka</v>
          </cell>
          <cell r="C21">
            <v>3</v>
          </cell>
          <cell r="D21">
            <v>3</v>
          </cell>
          <cell r="E21">
            <v>100</v>
          </cell>
          <cell r="F21">
            <v>5</v>
          </cell>
        </row>
        <row r="22">
          <cell r="B22" t="str">
            <v>Nakkapalli</v>
          </cell>
          <cell r="C22">
            <v>3</v>
          </cell>
          <cell r="D22">
            <v>1</v>
          </cell>
          <cell r="E22">
            <v>33.333333333333336</v>
          </cell>
          <cell r="F22">
            <v>1.666666666666667</v>
          </cell>
        </row>
        <row r="23">
          <cell r="B23" t="str">
            <v>Narsipatnam Rural</v>
          </cell>
          <cell r="C23">
            <v>1</v>
          </cell>
          <cell r="D23">
            <v>1</v>
          </cell>
          <cell r="E23">
            <v>100</v>
          </cell>
          <cell r="F23">
            <v>5</v>
          </cell>
        </row>
        <row r="24">
          <cell r="B24" t="str">
            <v>Narsipatnam Town</v>
          </cell>
          <cell r="C24">
            <v>2</v>
          </cell>
          <cell r="D24">
            <v>2</v>
          </cell>
          <cell r="E24">
            <v>100</v>
          </cell>
          <cell r="F24">
            <v>5</v>
          </cell>
        </row>
        <row r="25">
          <cell r="B25" t="str">
            <v>Nathavaram</v>
          </cell>
          <cell r="C25">
            <v>7</v>
          </cell>
          <cell r="D25">
            <v>1</v>
          </cell>
          <cell r="E25">
            <v>14.285714285714286</v>
          </cell>
          <cell r="F25">
            <v>0.71428571428571441</v>
          </cell>
        </row>
        <row r="26">
          <cell r="B26" t="str">
            <v>Parawada</v>
          </cell>
          <cell r="C26">
            <v>7</v>
          </cell>
          <cell r="D26">
            <v>1</v>
          </cell>
          <cell r="E26">
            <v>14.285714285714286</v>
          </cell>
          <cell r="F26">
            <v>0.71428571428571441</v>
          </cell>
        </row>
        <row r="27">
          <cell r="B27" t="str">
            <v>Payakaraopeta</v>
          </cell>
          <cell r="C27">
            <v>2</v>
          </cell>
          <cell r="D27">
            <v>2</v>
          </cell>
          <cell r="E27">
            <v>100</v>
          </cell>
          <cell r="F27">
            <v>5</v>
          </cell>
        </row>
        <row r="28">
          <cell r="B28" t="str">
            <v>Rambilli</v>
          </cell>
          <cell r="C28">
            <v>4</v>
          </cell>
          <cell r="D28">
            <v>1</v>
          </cell>
          <cell r="E28">
            <v>25</v>
          </cell>
          <cell r="F28">
            <v>1.25</v>
          </cell>
        </row>
        <row r="29">
          <cell r="B29" t="str">
            <v>Ravikamatham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Rolugunta</v>
          </cell>
          <cell r="C30">
            <v>4</v>
          </cell>
          <cell r="D30">
            <v>1</v>
          </cell>
          <cell r="E30">
            <v>25</v>
          </cell>
          <cell r="F30">
            <v>1.25</v>
          </cell>
        </row>
        <row r="31">
          <cell r="B31" t="str">
            <v>S.Rayavaram</v>
          </cell>
          <cell r="C31">
            <v>4</v>
          </cell>
          <cell r="D31">
            <v>1</v>
          </cell>
          <cell r="E31">
            <v>25</v>
          </cell>
          <cell r="F31">
            <v>1.25</v>
          </cell>
        </row>
        <row r="32">
          <cell r="B32" t="str">
            <v>Sabbavaram</v>
          </cell>
          <cell r="C32">
            <v>5</v>
          </cell>
          <cell r="D32">
            <v>1</v>
          </cell>
          <cell r="E32">
            <v>20</v>
          </cell>
          <cell r="F32">
            <v>1</v>
          </cell>
        </row>
        <row r="33">
          <cell r="B33" t="str">
            <v>V.Madugula</v>
          </cell>
          <cell r="C33">
            <v>1</v>
          </cell>
          <cell r="D33">
            <v>1</v>
          </cell>
          <cell r="E33">
            <v>100</v>
          </cell>
          <cell r="F33">
            <v>5</v>
          </cell>
        </row>
        <row r="34">
          <cell r="B34" t="str">
            <v>Yelamanchili Rural</v>
          </cell>
          <cell r="C34">
            <v>4</v>
          </cell>
          <cell r="D34">
            <v>4</v>
          </cell>
          <cell r="E34">
            <v>100</v>
          </cell>
          <cell r="F34">
            <v>5</v>
          </cell>
        </row>
        <row r="35">
          <cell r="B35" t="str">
            <v>Yelamanchili Town</v>
          </cell>
          <cell r="C35">
            <v>1</v>
          </cell>
          <cell r="D35">
            <v>0</v>
          </cell>
          <cell r="E35">
            <v>0</v>
          </cell>
          <cell r="F35">
            <v>0</v>
          </cell>
        </row>
        <row r="36">
          <cell r="B36" t="str">
            <v>Yelamanchili Traffic</v>
          </cell>
          <cell r="C36">
            <v>2</v>
          </cell>
          <cell r="D36">
            <v>2</v>
          </cell>
          <cell r="E36">
            <v>100</v>
          </cell>
          <cell r="F36">
            <v>5</v>
          </cell>
        </row>
      </sheetData>
      <sheetData sheetId="13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A.Koduru</v>
          </cell>
          <cell r="C3">
            <v>18</v>
          </cell>
          <cell r="D3">
            <v>18</v>
          </cell>
          <cell r="E3">
            <v>100</v>
          </cell>
          <cell r="F3">
            <v>2.5</v>
          </cell>
          <cell r="G3">
            <v>12</v>
          </cell>
          <cell r="H3">
            <v>10</v>
          </cell>
          <cell r="I3">
            <v>83.333333333333329</v>
          </cell>
          <cell r="J3">
            <v>2.0833333333333335</v>
          </cell>
          <cell r="K3">
            <v>4.5833333333333339</v>
          </cell>
          <cell r="L3">
            <v>91.666666666666657</v>
          </cell>
        </row>
        <row r="4">
          <cell r="B4" t="str">
            <v>Anakapalli Rural</v>
          </cell>
          <cell r="C4">
            <v>91</v>
          </cell>
          <cell r="D4">
            <v>6</v>
          </cell>
          <cell r="E4">
            <v>6.5934065934065931</v>
          </cell>
          <cell r="F4">
            <v>0.16483516483516483</v>
          </cell>
          <cell r="G4">
            <v>57</v>
          </cell>
          <cell r="H4">
            <v>56</v>
          </cell>
          <cell r="I4">
            <v>98.245614035087726</v>
          </cell>
          <cell r="J4">
            <v>2.4561403508771935</v>
          </cell>
          <cell r="K4">
            <v>2.6209755157123582</v>
          </cell>
          <cell r="L4">
            <v>52.419510314247162</v>
          </cell>
        </row>
        <row r="5">
          <cell r="B5" t="str">
            <v>Anakapalli Town</v>
          </cell>
          <cell r="C5">
            <v>104</v>
          </cell>
          <cell r="D5">
            <v>1</v>
          </cell>
          <cell r="E5">
            <v>0.96153846153846156</v>
          </cell>
          <cell r="F5">
            <v>2.403846153846154E-2</v>
          </cell>
          <cell r="G5">
            <v>47</v>
          </cell>
          <cell r="H5">
            <v>47</v>
          </cell>
          <cell r="I5">
            <v>100</v>
          </cell>
          <cell r="J5">
            <v>2.5</v>
          </cell>
          <cell r="K5">
            <v>2.5240384615384617</v>
          </cell>
          <cell r="L5">
            <v>50.480769230769234</v>
          </cell>
        </row>
        <row r="6">
          <cell r="B6" t="str">
            <v>Anakapalli Traffic</v>
          </cell>
          <cell r="C6">
            <v>73</v>
          </cell>
          <cell r="D6">
            <v>5</v>
          </cell>
          <cell r="E6">
            <v>6.8493150684931505</v>
          </cell>
          <cell r="F6">
            <v>0.17123287671232879</v>
          </cell>
          <cell r="G6">
            <v>52</v>
          </cell>
          <cell r="H6">
            <v>51</v>
          </cell>
          <cell r="I6">
            <v>98.07692307692308</v>
          </cell>
          <cell r="J6">
            <v>2.4519230769230771</v>
          </cell>
          <cell r="K6">
            <v>2.6231559536354059</v>
          </cell>
          <cell r="L6">
            <v>52.463119072708118</v>
          </cell>
        </row>
        <row r="7">
          <cell r="B7" t="str">
            <v>Atchutapuram</v>
          </cell>
          <cell r="C7">
            <v>107</v>
          </cell>
          <cell r="D7">
            <v>107</v>
          </cell>
          <cell r="E7">
            <v>100</v>
          </cell>
          <cell r="F7">
            <v>2.5</v>
          </cell>
          <cell r="G7">
            <v>74</v>
          </cell>
          <cell r="H7">
            <v>64</v>
          </cell>
          <cell r="I7">
            <v>86.486486486486484</v>
          </cell>
          <cell r="J7">
            <v>2.1621621621621623</v>
          </cell>
          <cell r="K7">
            <v>4.6621621621621623</v>
          </cell>
          <cell r="L7">
            <v>93.243243243243242</v>
          </cell>
        </row>
        <row r="8">
          <cell r="B8" t="str">
            <v>Butchiyyapeta</v>
          </cell>
          <cell r="C8">
            <v>40</v>
          </cell>
          <cell r="D8">
            <v>40</v>
          </cell>
          <cell r="E8">
            <v>100</v>
          </cell>
          <cell r="F8">
            <v>2.5</v>
          </cell>
          <cell r="G8">
            <v>19</v>
          </cell>
          <cell r="H8">
            <v>19</v>
          </cell>
          <cell r="I8">
            <v>100</v>
          </cell>
          <cell r="J8">
            <v>2.5</v>
          </cell>
          <cell r="K8">
            <v>5</v>
          </cell>
          <cell r="L8">
            <v>100</v>
          </cell>
        </row>
        <row r="9">
          <cell r="B9" t="str">
            <v>Cheedikada</v>
          </cell>
          <cell r="C9">
            <v>23</v>
          </cell>
          <cell r="D9">
            <v>23</v>
          </cell>
          <cell r="E9">
            <v>100</v>
          </cell>
          <cell r="F9">
            <v>2.5</v>
          </cell>
          <cell r="G9">
            <v>11</v>
          </cell>
          <cell r="H9">
            <v>11</v>
          </cell>
          <cell r="I9">
            <v>100</v>
          </cell>
          <cell r="J9">
            <v>2.5</v>
          </cell>
          <cell r="K9">
            <v>5</v>
          </cell>
          <cell r="L9">
            <v>100</v>
          </cell>
        </row>
        <row r="10">
          <cell r="B10" t="str">
            <v>Chodavaram</v>
          </cell>
          <cell r="C10">
            <v>102</v>
          </cell>
          <cell r="D10">
            <v>98</v>
          </cell>
          <cell r="E10">
            <v>96.078431372549019</v>
          </cell>
          <cell r="F10">
            <v>2.4019607843137258</v>
          </cell>
          <cell r="G10">
            <v>45</v>
          </cell>
          <cell r="H10">
            <v>44</v>
          </cell>
          <cell r="I10">
            <v>97.777777777777771</v>
          </cell>
          <cell r="J10">
            <v>2.4444444444444446</v>
          </cell>
          <cell r="K10">
            <v>4.8464052287581705</v>
          </cell>
          <cell r="L10">
            <v>96.928104575163388</v>
          </cell>
        </row>
        <row r="11">
          <cell r="B11" t="str">
            <v>Devarapalli</v>
          </cell>
          <cell r="C11">
            <v>24</v>
          </cell>
          <cell r="D11">
            <v>24</v>
          </cell>
          <cell r="E11">
            <v>100</v>
          </cell>
          <cell r="F11">
            <v>2.5</v>
          </cell>
          <cell r="G11">
            <v>14</v>
          </cell>
          <cell r="H11">
            <v>14</v>
          </cell>
          <cell r="I11">
            <v>100</v>
          </cell>
          <cell r="J11">
            <v>2.5</v>
          </cell>
          <cell r="K11">
            <v>5</v>
          </cell>
          <cell r="L11">
            <v>100</v>
          </cell>
        </row>
        <row r="12">
          <cell r="B12" t="str">
            <v>Golugonda</v>
          </cell>
          <cell r="C12">
            <v>29</v>
          </cell>
          <cell r="D12">
            <v>29</v>
          </cell>
          <cell r="E12">
            <v>100</v>
          </cell>
          <cell r="F12">
            <v>2.5</v>
          </cell>
          <cell r="G12">
            <v>22</v>
          </cell>
          <cell r="H12">
            <v>22</v>
          </cell>
          <cell r="I12">
            <v>100</v>
          </cell>
          <cell r="J12">
            <v>2.5</v>
          </cell>
          <cell r="K12">
            <v>5</v>
          </cell>
          <cell r="L12">
            <v>100</v>
          </cell>
        </row>
        <row r="13">
          <cell r="B13" t="str">
            <v>K.D.Peta</v>
          </cell>
          <cell r="C13">
            <v>12</v>
          </cell>
          <cell r="D13">
            <v>11</v>
          </cell>
          <cell r="E13">
            <v>91.666666666666671</v>
          </cell>
          <cell r="F13">
            <v>2.291666666666667</v>
          </cell>
          <cell r="G13">
            <v>6</v>
          </cell>
          <cell r="H13">
            <v>6</v>
          </cell>
          <cell r="I13">
            <v>100</v>
          </cell>
          <cell r="J13">
            <v>2.5</v>
          </cell>
          <cell r="K13">
            <v>4.791666666666667</v>
          </cell>
          <cell r="L13">
            <v>95.833333333333343</v>
          </cell>
        </row>
        <row r="14">
          <cell r="B14" t="str">
            <v>K.Kotapadu</v>
          </cell>
          <cell r="C14">
            <v>26</v>
          </cell>
          <cell r="D14">
            <v>26</v>
          </cell>
          <cell r="E14">
            <v>100</v>
          </cell>
          <cell r="F14">
            <v>2.5</v>
          </cell>
          <cell r="G14">
            <v>14</v>
          </cell>
          <cell r="H14">
            <v>12</v>
          </cell>
          <cell r="I14">
            <v>85.714285714285708</v>
          </cell>
          <cell r="J14">
            <v>2.1428571428571428</v>
          </cell>
          <cell r="K14">
            <v>4.6428571428571423</v>
          </cell>
          <cell r="L14">
            <v>92.857142857142861</v>
          </cell>
        </row>
        <row r="15">
          <cell r="B15" t="str">
            <v>Kasimkota</v>
          </cell>
          <cell r="C15">
            <v>103</v>
          </cell>
          <cell r="D15">
            <v>4</v>
          </cell>
          <cell r="E15">
            <v>3.883495145631068</v>
          </cell>
          <cell r="F15">
            <v>9.7087378640776711E-2</v>
          </cell>
          <cell r="G15">
            <v>62</v>
          </cell>
          <cell r="H15">
            <v>61</v>
          </cell>
          <cell r="I15">
            <v>98.387096774193552</v>
          </cell>
          <cell r="J15">
            <v>2.459677419354839</v>
          </cell>
          <cell r="K15">
            <v>2.5567647979956156</v>
          </cell>
          <cell r="L15">
            <v>51.135295959912312</v>
          </cell>
        </row>
        <row r="16">
          <cell r="B16" t="str">
            <v>Kotavurtla</v>
          </cell>
          <cell r="C16">
            <v>36</v>
          </cell>
          <cell r="D16">
            <v>36</v>
          </cell>
          <cell r="E16">
            <v>100</v>
          </cell>
          <cell r="F16">
            <v>2.5</v>
          </cell>
          <cell r="G16">
            <v>19</v>
          </cell>
          <cell r="H16">
            <v>19</v>
          </cell>
          <cell r="I16">
            <v>100</v>
          </cell>
          <cell r="J16">
            <v>2.5</v>
          </cell>
          <cell r="K16">
            <v>5</v>
          </cell>
          <cell r="L16">
            <v>100</v>
          </cell>
        </row>
        <row r="17">
          <cell r="B17" t="str">
            <v>Kothakota</v>
          </cell>
          <cell r="C17">
            <v>16</v>
          </cell>
          <cell r="D17">
            <v>16</v>
          </cell>
          <cell r="E17">
            <v>100</v>
          </cell>
          <cell r="F17">
            <v>2.5</v>
          </cell>
          <cell r="G17">
            <v>13</v>
          </cell>
          <cell r="H17">
            <v>13</v>
          </cell>
          <cell r="I17">
            <v>100</v>
          </cell>
          <cell r="J17">
            <v>2.5</v>
          </cell>
          <cell r="K17">
            <v>5</v>
          </cell>
          <cell r="L17">
            <v>100</v>
          </cell>
        </row>
        <row r="18">
          <cell r="B18" t="str">
            <v>Mahila UPS, Anakapalli</v>
          </cell>
          <cell r="C18">
            <v>37</v>
          </cell>
          <cell r="D18">
            <v>5</v>
          </cell>
          <cell r="E18">
            <v>13.513513513513514</v>
          </cell>
          <cell r="F18">
            <v>0.33783783783783788</v>
          </cell>
          <cell r="G18">
            <v>22</v>
          </cell>
          <cell r="H18">
            <v>22</v>
          </cell>
          <cell r="I18">
            <v>100</v>
          </cell>
          <cell r="J18">
            <v>2.5</v>
          </cell>
          <cell r="K18">
            <v>2.8378378378378377</v>
          </cell>
          <cell r="L18">
            <v>56.756756756756758</v>
          </cell>
        </row>
        <row r="19">
          <cell r="B19" t="str">
            <v>Makavarapalem</v>
          </cell>
          <cell r="C19">
            <v>58</v>
          </cell>
          <cell r="D19">
            <v>55</v>
          </cell>
          <cell r="E19">
            <v>94.827586206896555</v>
          </cell>
          <cell r="F19">
            <v>2.3706896551724141</v>
          </cell>
          <cell r="G19">
            <v>20</v>
          </cell>
          <cell r="H19">
            <v>20</v>
          </cell>
          <cell r="I19">
            <v>100</v>
          </cell>
          <cell r="J19">
            <v>2.5</v>
          </cell>
          <cell r="K19">
            <v>4.8706896551724146</v>
          </cell>
          <cell r="L19">
            <v>97.413793103448285</v>
          </cell>
        </row>
        <row r="20">
          <cell r="B20" t="str">
            <v>Munagapaka</v>
          </cell>
          <cell r="C20">
            <v>76</v>
          </cell>
          <cell r="D20">
            <v>4</v>
          </cell>
          <cell r="E20">
            <v>5.2631578947368425</v>
          </cell>
          <cell r="F20">
            <v>0.13157894736842107</v>
          </cell>
          <cell r="G20">
            <v>47</v>
          </cell>
          <cell r="H20">
            <v>46</v>
          </cell>
          <cell r="I20">
            <v>97.872340425531917</v>
          </cell>
          <cell r="J20">
            <v>2.4468085106382982</v>
          </cell>
          <cell r="K20">
            <v>2.5783874580067194</v>
          </cell>
          <cell r="L20">
            <v>51.567749160134383</v>
          </cell>
        </row>
        <row r="21">
          <cell r="B21" t="str">
            <v>Nakkapalli</v>
          </cell>
          <cell r="C21">
            <v>100</v>
          </cell>
          <cell r="D21">
            <v>99</v>
          </cell>
          <cell r="E21">
            <v>99</v>
          </cell>
          <cell r="F21">
            <v>2.4750000000000001</v>
          </cell>
          <cell r="G21">
            <v>56</v>
          </cell>
          <cell r="H21">
            <v>55</v>
          </cell>
          <cell r="I21">
            <v>98.214285714285708</v>
          </cell>
          <cell r="J21">
            <v>2.4553571428571428</v>
          </cell>
          <cell r="K21">
            <v>4.9303571428571429</v>
          </cell>
          <cell r="L21">
            <v>98.607142857142861</v>
          </cell>
        </row>
        <row r="22">
          <cell r="B22" t="str">
            <v>Narsipatnam Rural</v>
          </cell>
          <cell r="C22">
            <v>17</v>
          </cell>
          <cell r="D22">
            <v>17</v>
          </cell>
          <cell r="E22">
            <v>100</v>
          </cell>
          <cell r="F22">
            <v>2.5</v>
          </cell>
          <cell r="G22">
            <v>10</v>
          </cell>
          <cell r="H22">
            <v>10</v>
          </cell>
          <cell r="I22">
            <v>100</v>
          </cell>
          <cell r="J22">
            <v>2.5</v>
          </cell>
          <cell r="K22">
            <v>5</v>
          </cell>
          <cell r="L22">
            <v>100</v>
          </cell>
        </row>
        <row r="23">
          <cell r="B23" t="str">
            <v>Narsipatnam Town</v>
          </cell>
          <cell r="C23">
            <v>77</v>
          </cell>
          <cell r="D23">
            <v>77</v>
          </cell>
          <cell r="E23">
            <v>100</v>
          </cell>
          <cell r="F23">
            <v>2.5</v>
          </cell>
          <cell r="G23">
            <v>38</v>
          </cell>
          <cell r="H23">
            <v>36</v>
          </cell>
          <cell r="I23">
            <v>94.736842105263165</v>
          </cell>
          <cell r="J23">
            <v>2.3684210526315792</v>
          </cell>
          <cell r="K23">
            <v>4.8684210526315788</v>
          </cell>
          <cell r="L23">
            <v>97.368421052631589</v>
          </cell>
        </row>
        <row r="24">
          <cell r="B24" t="str">
            <v>Nathavaram</v>
          </cell>
          <cell r="C24">
            <v>34</v>
          </cell>
          <cell r="D24">
            <v>34</v>
          </cell>
          <cell r="E24">
            <v>100</v>
          </cell>
          <cell r="F24">
            <v>2.5</v>
          </cell>
          <cell r="G24">
            <v>18</v>
          </cell>
          <cell r="H24">
            <v>18</v>
          </cell>
          <cell r="I24">
            <v>100</v>
          </cell>
          <cell r="J24">
            <v>2.5</v>
          </cell>
          <cell r="K24">
            <v>5</v>
          </cell>
          <cell r="L24">
            <v>100</v>
          </cell>
        </row>
        <row r="25">
          <cell r="B25" t="str">
            <v>Parawada</v>
          </cell>
          <cell r="C25">
            <v>173</v>
          </cell>
          <cell r="D25">
            <v>6</v>
          </cell>
          <cell r="E25">
            <v>3.4682080924855492</v>
          </cell>
          <cell r="F25">
            <v>8.6705202312138741E-2</v>
          </cell>
          <cell r="G25">
            <v>100</v>
          </cell>
          <cell r="H25">
            <v>91</v>
          </cell>
          <cell r="I25">
            <v>91</v>
          </cell>
          <cell r="J25">
            <v>2.2749999999999999</v>
          </cell>
          <cell r="K25">
            <v>2.3617052023121388</v>
          </cell>
          <cell r="L25">
            <v>47.234104046242777</v>
          </cell>
        </row>
        <row r="26">
          <cell r="B26" t="str">
            <v>Payakaraopeta</v>
          </cell>
          <cell r="C26">
            <v>124</v>
          </cell>
          <cell r="D26">
            <v>124</v>
          </cell>
          <cell r="E26">
            <v>100</v>
          </cell>
          <cell r="F26">
            <v>2.5</v>
          </cell>
          <cell r="G26">
            <v>78</v>
          </cell>
          <cell r="H26">
            <v>73</v>
          </cell>
          <cell r="I26">
            <v>93.589743589743591</v>
          </cell>
          <cell r="J26">
            <v>2.3397435897435899</v>
          </cell>
          <cell r="K26">
            <v>4.8397435897435894</v>
          </cell>
          <cell r="L26">
            <v>96.794871794871796</v>
          </cell>
        </row>
        <row r="27">
          <cell r="B27" t="str">
            <v>Rambilli</v>
          </cell>
          <cell r="C27">
            <v>57</v>
          </cell>
          <cell r="D27">
            <v>55</v>
          </cell>
          <cell r="E27">
            <v>96.491228070175438</v>
          </cell>
          <cell r="F27">
            <v>2.4122807017543861</v>
          </cell>
          <cell r="G27">
            <v>28</v>
          </cell>
          <cell r="H27">
            <v>28</v>
          </cell>
          <cell r="I27">
            <v>100</v>
          </cell>
          <cell r="J27">
            <v>2.5</v>
          </cell>
          <cell r="K27">
            <v>4.9122807017543861</v>
          </cell>
          <cell r="L27">
            <v>98.245614035087726</v>
          </cell>
        </row>
        <row r="28">
          <cell r="B28" t="str">
            <v>Ravikamatham</v>
          </cell>
          <cell r="C28">
            <v>15</v>
          </cell>
          <cell r="D28">
            <v>15</v>
          </cell>
          <cell r="E28">
            <v>100</v>
          </cell>
          <cell r="F28">
            <v>2.5</v>
          </cell>
          <cell r="G28">
            <v>9</v>
          </cell>
          <cell r="H28">
            <v>9</v>
          </cell>
          <cell r="I28">
            <v>100</v>
          </cell>
          <cell r="J28">
            <v>2.5</v>
          </cell>
          <cell r="K28">
            <v>5</v>
          </cell>
          <cell r="L28">
            <v>100</v>
          </cell>
        </row>
        <row r="29">
          <cell r="B29" t="str">
            <v>Rolugunta</v>
          </cell>
          <cell r="C29">
            <v>28</v>
          </cell>
          <cell r="D29">
            <v>28</v>
          </cell>
          <cell r="E29">
            <v>100</v>
          </cell>
          <cell r="F29">
            <v>2.5</v>
          </cell>
          <cell r="G29">
            <v>19</v>
          </cell>
          <cell r="H29">
            <v>19</v>
          </cell>
          <cell r="I29">
            <v>100</v>
          </cell>
          <cell r="J29">
            <v>2.5</v>
          </cell>
          <cell r="K29">
            <v>5</v>
          </cell>
          <cell r="L29">
            <v>100</v>
          </cell>
        </row>
        <row r="30">
          <cell r="B30" t="str">
            <v>S.Rayavaram</v>
          </cell>
          <cell r="C30">
            <v>69</v>
          </cell>
          <cell r="D30">
            <v>69</v>
          </cell>
          <cell r="E30">
            <v>100</v>
          </cell>
          <cell r="F30">
            <v>2.5</v>
          </cell>
          <cell r="G30">
            <v>40</v>
          </cell>
          <cell r="H30">
            <v>39</v>
          </cell>
          <cell r="I30">
            <v>97.5</v>
          </cell>
          <cell r="J30">
            <v>2.4375</v>
          </cell>
          <cell r="K30">
            <v>4.9375</v>
          </cell>
          <cell r="L30">
            <v>98.75</v>
          </cell>
        </row>
        <row r="31">
          <cell r="B31" t="str">
            <v>Sabbavaram</v>
          </cell>
          <cell r="C31">
            <v>83</v>
          </cell>
          <cell r="D31">
            <v>3</v>
          </cell>
          <cell r="E31">
            <v>3.6144578313253013</v>
          </cell>
          <cell r="F31">
            <v>9.0361445783132543E-2</v>
          </cell>
          <cell r="G31">
            <v>43</v>
          </cell>
          <cell r="H31">
            <v>42</v>
          </cell>
          <cell r="I31">
            <v>97.674418604651166</v>
          </cell>
          <cell r="J31">
            <v>2.4418604651162794</v>
          </cell>
          <cell r="K31">
            <v>2.5322219108994117</v>
          </cell>
          <cell r="L31">
            <v>50.644438217988231</v>
          </cell>
        </row>
        <row r="32">
          <cell r="B32" t="str">
            <v>V.Madugula</v>
          </cell>
          <cell r="C32">
            <v>36</v>
          </cell>
          <cell r="D32">
            <v>36</v>
          </cell>
          <cell r="E32">
            <v>100</v>
          </cell>
          <cell r="F32">
            <v>2.5</v>
          </cell>
          <cell r="G32">
            <v>19</v>
          </cell>
          <cell r="H32">
            <v>17</v>
          </cell>
          <cell r="I32">
            <v>89.473684210526315</v>
          </cell>
          <cell r="J32">
            <v>2.236842105263158</v>
          </cell>
          <cell r="K32">
            <v>4.7368421052631575</v>
          </cell>
          <cell r="L32">
            <v>94.73684210526315</v>
          </cell>
        </row>
        <row r="33">
          <cell r="B33" t="str">
            <v>Yelamanchili Rural</v>
          </cell>
          <cell r="C33">
            <v>65</v>
          </cell>
          <cell r="D33">
            <v>65</v>
          </cell>
          <cell r="E33">
            <v>100</v>
          </cell>
          <cell r="F33">
            <v>2.5</v>
          </cell>
          <cell r="G33">
            <v>41</v>
          </cell>
          <cell r="H33">
            <v>38</v>
          </cell>
          <cell r="I33">
            <v>92.682926829268297</v>
          </cell>
          <cell r="J33">
            <v>2.3170731707317076</v>
          </cell>
          <cell r="K33">
            <v>4.8170731707317076</v>
          </cell>
          <cell r="L33">
            <v>96.341463414634148</v>
          </cell>
        </row>
        <row r="34">
          <cell r="B34" t="str">
            <v>Yelamanchili Town</v>
          </cell>
          <cell r="C34">
            <v>26</v>
          </cell>
          <cell r="D34">
            <v>26</v>
          </cell>
          <cell r="E34">
            <v>100</v>
          </cell>
          <cell r="F34">
            <v>2.5</v>
          </cell>
          <cell r="G34">
            <v>15</v>
          </cell>
          <cell r="H34">
            <v>15</v>
          </cell>
          <cell r="I34">
            <v>100</v>
          </cell>
          <cell r="J34">
            <v>2.5</v>
          </cell>
          <cell r="K34">
            <v>5</v>
          </cell>
          <cell r="L34">
            <v>100</v>
          </cell>
        </row>
        <row r="35">
          <cell r="B35" t="str">
            <v>Yelamanchili Traffic</v>
          </cell>
          <cell r="C35">
            <v>20</v>
          </cell>
          <cell r="D35">
            <v>20</v>
          </cell>
          <cell r="E35">
            <v>100</v>
          </cell>
          <cell r="F35">
            <v>2.5</v>
          </cell>
          <cell r="G35">
            <v>20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50</v>
          </cell>
        </row>
        <row r="36">
          <cell r="C36">
            <v>1899</v>
          </cell>
          <cell r="D36">
            <v>1182</v>
          </cell>
          <cell r="E36">
            <v>62.243285939968402</v>
          </cell>
          <cell r="F36">
            <v>5.2659294365455498</v>
          </cell>
          <cell r="G36">
            <v>1090</v>
          </cell>
          <cell r="H36">
            <v>1027</v>
          </cell>
          <cell r="I36">
            <v>94.220183486238525</v>
          </cell>
          <cell r="J36">
            <v>2.3490649686949681</v>
          </cell>
          <cell r="K36">
            <v>7.6149944052405178</v>
          </cell>
          <cell r="L36">
            <v>78.231734713103464</v>
          </cell>
        </row>
      </sheetData>
      <sheetData sheetId="14">
        <row r="2">
          <cell r="C2" t="str">
            <v>FROM 09-09-2026 TO 15-09-2026 -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A.Koduru</v>
          </cell>
          <cell r="D4">
            <v>0</v>
          </cell>
          <cell r="E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B5" t="str">
            <v>Anakapalli Rural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B6" t="str">
            <v>Anakapalli Town</v>
          </cell>
          <cell r="D6">
            <v>0</v>
          </cell>
          <cell r="E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 t="str">
            <v>Anakapalli Traffic</v>
          </cell>
          <cell r="D7">
            <v>0</v>
          </cell>
          <cell r="E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Atchutapuram</v>
          </cell>
          <cell r="D8">
            <v>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Butchiyyapeta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Cheedikada</v>
          </cell>
          <cell r="D10">
            <v>0</v>
          </cell>
          <cell r="E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Chodavaram</v>
          </cell>
          <cell r="D11">
            <v>0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Devarapalli</v>
          </cell>
          <cell r="D12">
            <v>0</v>
          </cell>
          <cell r="E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Golugonda</v>
          </cell>
          <cell r="D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K.D.Peta</v>
          </cell>
          <cell r="D14">
            <v>0</v>
          </cell>
          <cell r="E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K.Kotapadu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Kasimkota</v>
          </cell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Kotavurtla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Kothakota</v>
          </cell>
          <cell r="D18">
            <v>0</v>
          </cell>
          <cell r="E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Mahila UPS, Anakapalli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Makavarapalem</v>
          </cell>
          <cell r="D20">
            <v>0</v>
          </cell>
          <cell r="E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Munagapaka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Nakkapalli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Narsipatnam Rural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Narsipatnam Town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Nathavaram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Parawada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B27" t="str">
            <v>Payakaraopeta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Rambilli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Ravikamatham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Rolugunta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S.Rayavaram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Sabbavaram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V.Madugula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Yelamanchili Rural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Yelamanchili Town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Yelamanchili Traffic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15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A.Koduru</v>
          </cell>
          <cell r="C3">
            <v>11</v>
          </cell>
          <cell r="D3">
            <v>11</v>
          </cell>
          <cell r="E3">
            <v>100</v>
          </cell>
          <cell r="F3">
            <v>5</v>
          </cell>
          <cell r="G3">
            <v>7</v>
          </cell>
          <cell r="H3">
            <v>63.636363636363633</v>
          </cell>
          <cell r="I3">
            <v>3.1818181818181817</v>
          </cell>
          <cell r="J3">
            <v>8.1818181818181817</v>
          </cell>
          <cell r="K3">
            <v>81.818181818181813</v>
          </cell>
        </row>
        <row r="4">
          <cell r="B4" t="str">
            <v>Anakapalli Rural</v>
          </cell>
          <cell r="C4">
            <v>17</v>
          </cell>
          <cell r="D4">
            <v>17</v>
          </cell>
          <cell r="E4">
            <v>100</v>
          </cell>
          <cell r="F4">
            <v>5</v>
          </cell>
          <cell r="G4">
            <v>11</v>
          </cell>
          <cell r="H4">
            <v>64.705882352941174</v>
          </cell>
          <cell r="I4">
            <v>3.2352941176470589</v>
          </cell>
          <cell r="J4">
            <v>8.235294117647058</v>
          </cell>
          <cell r="K4">
            <v>82.35294117647058</v>
          </cell>
        </row>
        <row r="5">
          <cell r="B5" t="str">
            <v>Anakapalli Town</v>
          </cell>
          <cell r="C5">
            <v>60</v>
          </cell>
          <cell r="D5">
            <v>59</v>
          </cell>
          <cell r="E5">
            <v>98.333333333333329</v>
          </cell>
          <cell r="F5">
            <v>4.916666666666667</v>
          </cell>
          <cell r="G5">
            <v>41</v>
          </cell>
          <cell r="H5">
            <v>68.333333333333329</v>
          </cell>
          <cell r="I5">
            <v>3.4166666666666665</v>
          </cell>
          <cell r="J5">
            <v>8.3333333333333339</v>
          </cell>
          <cell r="K5">
            <v>83.333333333333329</v>
          </cell>
        </row>
        <row r="6">
          <cell r="B6" t="str">
            <v>Anakapalli Traffic</v>
          </cell>
          <cell r="C6">
            <v>12</v>
          </cell>
          <cell r="D6">
            <v>12</v>
          </cell>
          <cell r="E6">
            <v>100</v>
          </cell>
          <cell r="F6">
            <v>5</v>
          </cell>
          <cell r="G6">
            <v>8</v>
          </cell>
          <cell r="H6">
            <v>66.666666666666671</v>
          </cell>
          <cell r="I6">
            <v>3.3333333333333339</v>
          </cell>
          <cell r="J6">
            <v>8.3333333333333339</v>
          </cell>
          <cell r="K6">
            <v>83.333333333333343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100</v>
          </cell>
          <cell r="F7">
            <v>5</v>
          </cell>
          <cell r="G7">
            <v>11</v>
          </cell>
          <cell r="H7">
            <v>64.705882352941174</v>
          </cell>
          <cell r="I7">
            <v>3.2352941176470589</v>
          </cell>
          <cell r="J7">
            <v>8.235294117647058</v>
          </cell>
          <cell r="K7">
            <v>82.35294117647058</v>
          </cell>
        </row>
        <row r="8">
          <cell r="B8" t="str">
            <v>Butchiyyapeta</v>
          </cell>
          <cell r="C8">
            <v>10</v>
          </cell>
          <cell r="D8">
            <v>10</v>
          </cell>
          <cell r="E8">
            <v>100</v>
          </cell>
          <cell r="F8">
            <v>5</v>
          </cell>
          <cell r="G8">
            <v>7</v>
          </cell>
          <cell r="H8">
            <v>70</v>
          </cell>
          <cell r="I8">
            <v>3.5</v>
          </cell>
          <cell r="J8">
            <v>8.5</v>
          </cell>
          <cell r="K8">
            <v>85</v>
          </cell>
        </row>
        <row r="9">
          <cell r="B9" t="str">
            <v>Cheedikada</v>
          </cell>
          <cell r="C9">
            <v>9</v>
          </cell>
          <cell r="D9">
            <v>9</v>
          </cell>
          <cell r="E9">
            <v>100</v>
          </cell>
          <cell r="F9">
            <v>5</v>
          </cell>
          <cell r="G9">
            <v>6</v>
          </cell>
          <cell r="H9">
            <v>66.666666666666671</v>
          </cell>
          <cell r="I9">
            <v>3.3333333333333339</v>
          </cell>
          <cell r="J9">
            <v>8.3333333333333339</v>
          </cell>
          <cell r="K9">
            <v>83.333333333333343</v>
          </cell>
        </row>
        <row r="10">
          <cell r="B10" t="str">
            <v>Chodavaram</v>
          </cell>
          <cell r="C10">
            <v>20</v>
          </cell>
          <cell r="D10">
            <v>20</v>
          </cell>
          <cell r="E10">
            <v>100</v>
          </cell>
          <cell r="F10">
            <v>5</v>
          </cell>
          <cell r="G10">
            <v>13</v>
          </cell>
          <cell r="H10">
            <v>65</v>
          </cell>
          <cell r="I10">
            <v>3.25</v>
          </cell>
          <cell r="J10">
            <v>8.25</v>
          </cell>
          <cell r="K10">
            <v>82.5</v>
          </cell>
        </row>
        <row r="11">
          <cell r="B11" t="str">
            <v>Devarapalli</v>
          </cell>
          <cell r="C11">
            <v>10</v>
          </cell>
          <cell r="D11">
            <v>10</v>
          </cell>
          <cell r="E11">
            <v>100</v>
          </cell>
          <cell r="F11">
            <v>5</v>
          </cell>
          <cell r="G11">
            <v>7</v>
          </cell>
          <cell r="H11">
            <v>70</v>
          </cell>
          <cell r="I11">
            <v>3.5</v>
          </cell>
          <cell r="J11">
            <v>8.5</v>
          </cell>
          <cell r="K11">
            <v>85</v>
          </cell>
        </row>
        <row r="12">
          <cell r="B12" t="str">
            <v>Golugonda</v>
          </cell>
          <cell r="C12">
            <v>10</v>
          </cell>
          <cell r="D12">
            <v>10</v>
          </cell>
          <cell r="E12">
            <v>100</v>
          </cell>
          <cell r="F12">
            <v>5</v>
          </cell>
          <cell r="G12">
            <v>7</v>
          </cell>
          <cell r="H12">
            <v>70</v>
          </cell>
          <cell r="I12">
            <v>3.5</v>
          </cell>
          <cell r="J12">
            <v>8.5</v>
          </cell>
          <cell r="K12">
            <v>85</v>
          </cell>
        </row>
        <row r="13">
          <cell r="B13" t="str">
            <v>K.D.Peta</v>
          </cell>
          <cell r="C13">
            <v>8</v>
          </cell>
          <cell r="D13">
            <v>8</v>
          </cell>
          <cell r="E13">
            <v>100</v>
          </cell>
          <cell r="F13">
            <v>5</v>
          </cell>
          <cell r="G13">
            <v>5</v>
          </cell>
          <cell r="H13">
            <v>62.5</v>
          </cell>
          <cell r="I13">
            <v>3.125</v>
          </cell>
          <cell r="J13">
            <v>8.125</v>
          </cell>
          <cell r="K13">
            <v>81.25</v>
          </cell>
        </row>
        <row r="14">
          <cell r="B14" t="str">
            <v>K.Kotapadu</v>
          </cell>
          <cell r="C14">
            <v>10</v>
          </cell>
          <cell r="D14">
            <v>10</v>
          </cell>
          <cell r="E14">
            <v>100</v>
          </cell>
          <cell r="F14">
            <v>5</v>
          </cell>
          <cell r="G14">
            <v>6</v>
          </cell>
          <cell r="H14">
            <v>60</v>
          </cell>
          <cell r="I14">
            <v>3</v>
          </cell>
          <cell r="J14">
            <v>8</v>
          </cell>
          <cell r="K14">
            <v>80</v>
          </cell>
        </row>
        <row r="15">
          <cell r="B15" t="str">
            <v>Kasimkota</v>
          </cell>
          <cell r="C15">
            <v>20</v>
          </cell>
          <cell r="D15">
            <v>20</v>
          </cell>
          <cell r="E15">
            <v>100</v>
          </cell>
          <cell r="F15">
            <v>5</v>
          </cell>
          <cell r="G15">
            <v>14</v>
          </cell>
          <cell r="H15">
            <v>70</v>
          </cell>
          <cell r="I15">
            <v>3.5</v>
          </cell>
          <cell r="J15">
            <v>8.5</v>
          </cell>
          <cell r="K15">
            <v>85</v>
          </cell>
        </row>
        <row r="16">
          <cell r="B16" t="str">
            <v>Kotavurtla</v>
          </cell>
          <cell r="C16">
            <v>10</v>
          </cell>
          <cell r="D16">
            <v>10</v>
          </cell>
          <cell r="E16">
            <v>100</v>
          </cell>
          <cell r="F16">
            <v>5</v>
          </cell>
          <cell r="G16">
            <v>7</v>
          </cell>
          <cell r="H16">
            <v>70</v>
          </cell>
          <cell r="I16">
            <v>3.5</v>
          </cell>
          <cell r="J16">
            <v>8.5</v>
          </cell>
          <cell r="K16">
            <v>85</v>
          </cell>
        </row>
        <row r="17">
          <cell r="B17" t="str">
            <v>Kothakota</v>
          </cell>
          <cell r="C17">
            <v>8</v>
          </cell>
          <cell r="D17">
            <v>8</v>
          </cell>
          <cell r="E17">
            <v>100</v>
          </cell>
          <cell r="F17">
            <v>5</v>
          </cell>
          <cell r="G17">
            <v>5</v>
          </cell>
          <cell r="H17">
            <v>62.5</v>
          </cell>
          <cell r="I17">
            <v>3.125</v>
          </cell>
          <cell r="J17">
            <v>8.125</v>
          </cell>
          <cell r="K17">
            <v>81.25</v>
          </cell>
        </row>
        <row r="18">
          <cell r="B18" t="str">
            <v>Mahila UPS, Anakapalli</v>
          </cell>
          <cell r="C18">
            <v>12</v>
          </cell>
          <cell r="D18">
            <v>11</v>
          </cell>
          <cell r="E18">
            <v>91.666666666666671</v>
          </cell>
          <cell r="F18">
            <v>4.5833333333333339</v>
          </cell>
          <cell r="G18">
            <v>9</v>
          </cell>
          <cell r="H18">
            <v>75</v>
          </cell>
          <cell r="I18">
            <v>3.75</v>
          </cell>
          <cell r="J18">
            <v>8.3333333333333339</v>
          </cell>
          <cell r="K18">
            <v>83.333333333333343</v>
          </cell>
        </row>
        <row r="19">
          <cell r="B19" t="str">
            <v>Makavarapalem</v>
          </cell>
          <cell r="C19">
            <v>12</v>
          </cell>
          <cell r="D19">
            <v>12</v>
          </cell>
          <cell r="E19">
            <v>100</v>
          </cell>
          <cell r="F19">
            <v>5</v>
          </cell>
          <cell r="G19">
            <v>8</v>
          </cell>
          <cell r="H19">
            <v>66.666666666666671</v>
          </cell>
          <cell r="I19">
            <v>3.3333333333333339</v>
          </cell>
          <cell r="J19">
            <v>8.3333333333333339</v>
          </cell>
          <cell r="K19">
            <v>83.333333333333343</v>
          </cell>
        </row>
        <row r="20">
          <cell r="B20" t="str">
            <v>Munagapaka</v>
          </cell>
          <cell r="C20">
            <v>12</v>
          </cell>
          <cell r="D20">
            <v>12</v>
          </cell>
          <cell r="E20">
            <v>100</v>
          </cell>
          <cell r="F20">
            <v>5</v>
          </cell>
          <cell r="G20">
            <v>8</v>
          </cell>
          <cell r="H20">
            <v>66.666666666666671</v>
          </cell>
          <cell r="I20">
            <v>3.3333333333333339</v>
          </cell>
          <cell r="J20">
            <v>8.3333333333333339</v>
          </cell>
          <cell r="K20">
            <v>83.333333333333343</v>
          </cell>
        </row>
        <row r="21">
          <cell r="B21" t="str">
            <v>Nakkapalli</v>
          </cell>
          <cell r="C21">
            <v>20</v>
          </cell>
          <cell r="D21">
            <v>20</v>
          </cell>
          <cell r="E21">
            <v>100</v>
          </cell>
          <cell r="F21">
            <v>5</v>
          </cell>
          <cell r="G21">
            <v>14</v>
          </cell>
          <cell r="H21">
            <v>70</v>
          </cell>
          <cell r="I21">
            <v>3.5</v>
          </cell>
          <cell r="J21">
            <v>8.5</v>
          </cell>
          <cell r="K21">
            <v>85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100</v>
          </cell>
          <cell r="F22">
            <v>5</v>
          </cell>
          <cell r="G22">
            <v>8</v>
          </cell>
          <cell r="H22">
            <v>66.666666666666671</v>
          </cell>
          <cell r="I22">
            <v>3.3333333333333339</v>
          </cell>
          <cell r="J22">
            <v>8.3333333333333339</v>
          </cell>
          <cell r="K22">
            <v>83.333333333333343</v>
          </cell>
        </row>
        <row r="23">
          <cell r="B23" t="str">
            <v>Narsipatnam Town</v>
          </cell>
          <cell r="C23">
            <v>27</v>
          </cell>
          <cell r="D23">
            <v>27</v>
          </cell>
          <cell r="E23">
            <v>100</v>
          </cell>
          <cell r="F23">
            <v>5</v>
          </cell>
          <cell r="G23">
            <v>18</v>
          </cell>
          <cell r="H23">
            <v>66.666666666666671</v>
          </cell>
          <cell r="I23">
            <v>3.3333333333333339</v>
          </cell>
          <cell r="J23">
            <v>8.3333333333333339</v>
          </cell>
          <cell r="K23">
            <v>83.333333333333343</v>
          </cell>
        </row>
        <row r="24">
          <cell r="B24" t="str">
            <v>Nathavaram</v>
          </cell>
          <cell r="C24">
            <v>12</v>
          </cell>
          <cell r="D24">
            <v>12</v>
          </cell>
          <cell r="E24">
            <v>100</v>
          </cell>
          <cell r="F24">
            <v>5</v>
          </cell>
          <cell r="G24">
            <v>8</v>
          </cell>
          <cell r="H24">
            <v>66.666666666666671</v>
          </cell>
          <cell r="I24">
            <v>3.3333333333333339</v>
          </cell>
          <cell r="J24">
            <v>8.3333333333333339</v>
          </cell>
          <cell r="K24">
            <v>83.333333333333343</v>
          </cell>
        </row>
        <row r="25">
          <cell r="B25" t="str">
            <v>Parawada</v>
          </cell>
          <cell r="C25">
            <v>37</v>
          </cell>
          <cell r="D25">
            <v>36</v>
          </cell>
          <cell r="E25">
            <v>97.297297297297291</v>
          </cell>
          <cell r="F25">
            <v>4.8648648648648649</v>
          </cell>
          <cell r="G25">
            <v>33</v>
          </cell>
          <cell r="H25">
            <v>89.189189189189193</v>
          </cell>
          <cell r="I25">
            <v>4.4594594594594597</v>
          </cell>
          <cell r="J25">
            <v>9.3243243243243246</v>
          </cell>
          <cell r="K25">
            <v>93.243243243243242</v>
          </cell>
        </row>
        <row r="26">
          <cell r="B26" t="str">
            <v>Payakaraopeta</v>
          </cell>
          <cell r="C26">
            <v>17</v>
          </cell>
          <cell r="D26">
            <v>17</v>
          </cell>
          <cell r="E26">
            <v>100</v>
          </cell>
          <cell r="F26">
            <v>5</v>
          </cell>
          <cell r="G26">
            <v>12</v>
          </cell>
          <cell r="H26">
            <v>70.588235294117652</v>
          </cell>
          <cell r="I26">
            <v>3.5294117647058827</v>
          </cell>
          <cell r="J26">
            <v>8.5294117647058822</v>
          </cell>
          <cell r="K26">
            <v>85.294117647058826</v>
          </cell>
        </row>
        <row r="27">
          <cell r="B27" t="str">
            <v>Rambilli</v>
          </cell>
          <cell r="C27">
            <v>14</v>
          </cell>
          <cell r="D27">
            <v>14</v>
          </cell>
          <cell r="E27">
            <v>100</v>
          </cell>
          <cell r="F27">
            <v>5</v>
          </cell>
          <cell r="G27">
            <v>9</v>
          </cell>
          <cell r="H27">
            <v>64.285714285714292</v>
          </cell>
          <cell r="I27">
            <v>3.2142857142857149</v>
          </cell>
          <cell r="J27">
            <v>8.2142857142857153</v>
          </cell>
          <cell r="K27">
            <v>82.142857142857139</v>
          </cell>
        </row>
        <row r="28">
          <cell r="B28" t="str">
            <v>Ravikamatham</v>
          </cell>
          <cell r="C28">
            <v>12</v>
          </cell>
          <cell r="D28">
            <v>12</v>
          </cell>
          <cell r="E28">
            <v>100</v>
          </cell>
          <cell r="F28">
            <v>5</v>
          </cell>
          <cell r="G28">
            <v>8</v>
          </cell>
          <cell r="H28">
            <v>66.666666666666671</v>
          </cell>
          <cell r="I28">
            <v>3.3333333333333339</v>
          </cell>
          <cell r="J28">
            <v>8.3333333333333339</v>
          </cell>
          <cell r="K28">
            <v>83.333333333333343</v>
          </cell>
        </row>
        <row r="29">
          <cell r="B29" t="str">
            <v>Rolugunta</v>
          </cell>
          <cell r="C29">
            <v>12</v>
          </cell>
          <cell r="D29">
            <v>12</v>
          </cell>
          <cell r="E29">
            <v>100</v>
          </cell>
          <cell r="F29">
            <v>5</v>
          </cell>
          <cell r="G29">
            <v>8</v>
          </cell>
          <cell r="H29">
            <v>66.666666666666671</v>
          </cell>
          <cell r="I29">
            <v>3.3333333333333339</v>
          </cell>
          <cell r="J29">
            <v>8.3333333333333339</v>
          </cell>
          <cell r="K29">
            <v>83.333333333333343</v>
          </cell>
        </row>
        <row r="30">
          <cell r="B30" t="str">
            <v>S.Rayavaram</v>
          </cell>
          <cell r="C30">
            <v>12</v>
          </cell>
          <cell r="D30">
            <v>12</v>
          </cell>
          <cell r="E30">
            <v>100</v>
          </cell>
          <cell r="F30">
            <v>5</v>
          </cell>
          <cell r="G30">
            <v>8</v>
          </cell>
          <cell r="H30">
            <v>66.666666666666671</v>
          </cell>
          <cell r="I30">
            <v>3.3333333333333339</v>
          </cell>
          <cell r="J30">
            <v>8.3333333333333339</v>
          </cell>
          <cell r="K30">
            <v>83.333333333333343</v>
          </cell>
        </row>
        <row r="31">
          <cell r="B31" t="str">
            <v>Sabbavaram</v>
          </cell>
          <cell r="C31">
            <v>28</v>
          </cell>
          <cell r="D31">
            <v>27</v>
          </cell>
          <cell r="E31">
            <v>96.428571428571431</v>
          </cell>
          <cell r="F31">
            <v>4.8214285714285721</v>
          </cell>
          <cell r="G31">
            <v>20</v>
          </cell>
          <cell r="H31">
            <v>71.428571428571431</v>
          </cell>
          <cell r="I31">
            <v>3.5714285714285716</v>
          </cell>
          <cell r="J31">
            <v>8.3928571428571441</v>
          </cell>
          <cell r="K31">
            <v>83.928571428571431</v>
          </cell>
        </row>
        <row r="32">
          <cell r="B32" t="str">
            <v>V.Madugula</v>
          </cell>
          <cell r="C32">
            <v>14</v>
          </cell>
          <cell r="D32">
            <v>14</v>
          </cell>
          <cell r="E32">
            <v>100</v>
          </cell>
          <cell r="F32">
            <v>5</v>
          </cell>
          <cell r="G32">
            <v>9</v>
          </cell>
          <cell r="H32">
            <v>64.285714285714292</v>
          </cell>
          <cell r="I32">
            <v>3.2142857142857149</v>
          </cell>
          <cell r="J32">
            <v>8.2142857142857153</v>
          </cell>
          <cell r="K32">
            <v>82.142857142857139</v>
          </cell>
        </row>
        <row r="33">
          <cell r="B33" t="str">
            <v>Yelamanchili Rural</v>
          </cell>
          <cell r="C33">
            <v>10</v>
          </cell>
          <cell r="D33">
            <v>10</v>
          </cell>
          <cell r="E33">
            <v>100</v>
          </cell>
          <cell r="F33">
            <v>5</v>
          </cell>
          <cell r="G33">
            <v>7</v>
          </cell>
          <cell r="H33">
            <v>70</v>
          </cell>
          <cell r="I33">
            <v>3.5</v>
          </cell>
          <cell r="J33">
            <v>8.5</v>
          </cell>
          <cell r="K33">
            <v>85</v>
          </cell>
        </row>
        <row r="34">
          <cell r="B34" t="str">
            <v>Yelamanchili Town</v>
          </cell>
          <cell r="C34">
            <v>10</v>
          </cell>
          <cell r="D34">
            <v>10</v>
          </cell>
          <cell r="E34">
            <v>100</v>
          </cell>
          <cell r="F34">
            <v>5</v>
          </cell>
          <cell r="G34">
            <v>7</v>
          </cell>
          <cell r="H34">
            <v>70</v>
          </cell>
          <cell r="I34">
            <v>3.5</v>
          </cell>
          <cell r="J34">
            <v>8.5</v>
          </cell>
          <cell r="K34">
            <v>85</v>
          </cell>
        </row>
        <row r="35">
          <cell r="B35" t="str">
            <v>Yelamanchili Traffic</v>
          </cell>
          <cell r="C35">
            <v>8</v>
          </cell>
          <cell r="D35">
            <v>8</v>
          </cell>
          <cell r="E35">
            <v>100</v>
          </cell>
          <cell r="F35">
            <v>5</v>
          </cell>
          <cell r="G35">
            <v>6</v>
          </cell>
          <cell r="H35">
            <v>75</v>
          </cell>
          <cell r="I35">
            <v>3.75</v>
          </cell>
          <cell r="J35">
            <v>8.75</v>
          </cell>
          <cell r="K35">
            <v>87.5</v>
          </cell>
        </row>
        <row r="36">
          <cell r="C36">
            <v>513</v>
          </cell>
          <cell r="D36">
            <v>509</v>
          </cell>
          <cell r="E36">
            <v>99.506844506844516</v>
          </cell>
          <cell r="F36">
            <v>4.9753422253422261</v>
          </cell>
          <cell r="G36">
            <v>355</v>
          </cell>
          <cell r="H36">
            <v>68.115925843198582</v>
          </cell>
          <cell r="I36">
            <v>112.39127764127761</v>
          </cell>
          <cell r="J36">
            <v>276.57757107757118</v>
          </cell>
          <cell r="K36">
            <v>2765.7757107757111</v>
          </cell>
        </row>
      </sheetData>
      <sheetData sheetId="16">
        <row r="2">
          <cell r="B2" t="str">
            <v>PS</v>
          </cell>
          <cell r="C2" t="str">
            <v>Is Drone Available</v>
          </cell>
          <cell r="D2" t="str">
            <v>Hours</v>
          </cell>
          <cell r="E2" t="str">
            <v>Min</v>
          </cell>
          <cell r="F2" t="str">
            <v>Sec</v>
          </cell>
          <cell r="G2" t="str">
            <v>Total Seconds</v>
          </cell>
          <cell r="H2" t="str">
            <v>Flying  Value
(80%)</v>
          </cell>
          <cell r="I2" t="str">
            <v>Enforce
ment
( 20%)</v>
          </cell>
          <cell r="J2" t="str">
            <v>Raw Value</v>
          </cell>
        </row>
        <row r="3">
          <cell r="B3" t="str">
            <v>A.Koduru</v>
          </cell>
          <cell r="C3" t="str">
            <v>NO</v>
          </cell>
          <cell r="G3">
            <v>-1</v>
          </cell>
          <cell r="H3">
            <v>20</v>
          </cell>
          <cell r="J3">
            <v>0</v>
          </cell>
        </row>
        <row r="4">
          <cell r="B4" t="str">
            <v>Anakapalli Rural</v>
          </cell>
          <cell r="C4" t="str">
            <v>YES</v>
          </cell>
          <cell r="G4">
            <v>-1</v>
          </cell>
          <cell r="H4">
            <v>20</v>
          </cell>
          <cell r="J4">
            <v>0</v>
          </cell>
        </row>
        <row r="5">
          <cell r="B5" t="str">
            <v>Anakapalli Town</v>
          </cell>
          <cell r="C5" t="str">
            <v>YES</v>
          </cell>
          <cell r="G5">
            <v>-1</v>
          </cell>
          <cell r="H5">
            <v>20</v>
          </cell>
          <cell r="J5">
            <v>0</v>
          </cell>
        </row>
        <row r="6">
          <cell r="B6" t="str">
            <v>Anakapalli Traffic</v>
          </cell>
          <cell r="C6" t="str">
            <v>YES</v>
          </cell>
          <cell r="G6">
            <v>-1</v>
          </cell>
          <cell r="H6">
            <v>20</v>
          </cell>
          <cell r="J6">
            <v>0</v>
          </cell>
        </row>
        <row r="7">
          <cell r="B7" t="str">
            <v>Atchutapuram</v>
          </cell>
          <cell r="C7" t="str">
            <v>YES</v>
          </cell>
          <cell r="G7">
            <v>-1</v>
          </cell>
          <cell r="H7">
            <v>20</v>
          </cell>
          <cell r="J7">
            <v>0</v>
          </cell>
        </row>
        <row r="8">
          <cell r="B8" t="str">
            <v>Butchiyyapeta</v>
          </cell>
          <cell r="C8" t="str">
            <v>NO</v>
          </cell>
          <cell r="G8">
            <v>-1</v>
          </cell>
          <cell r="H8">
            <v>20</v>
          </cell>
          <cell r="J8">
            <v>0</v>
          </cell>
        </row>
        <row r="9">
          <cell r="B9" t="str">
            <v>Cheedikada</v>
          </cell>
          <cell r="C9" t="str">
            <v>NO</v>
          </cell>
          <cell r="G9">
            <v>-1</v>
          </cell>
          <cell r="H9">
            <v>20</v>
          </cell>
          <cell r="J9">
            <v>0</v>
          </cell>
        </row>
        <row r="10">
          <cell r="B10" t="str">
            <v>Chodavaram</v>
          </cell>
          <cell r="C10" t="str">
            <v>YES</v>
          </cell>
          <cell r="G10">
            <v>-1</v>
          </cell>
          <cell r="H10">
            <v>20</v>
          </cell>
          <cell r="J10">
            <v>0</v>
          </cell>
        </row>
        <row r="11">
          <cell r="B11" t="str">
            <v>Devarapalli</v>
          </cell>
          <cell r="C11" t="str">
            <v>NO</v>
          </cell>
          <cell r="G11">
            <v>-1</v>
          </cell>
          <cell r="H11">
            <v>20</v>
          </cell>
          <cell r="J11">
            <v>0</v>
          </cell>
        </row>
        <row r="12">
          <cell r="B12" t="str">
            <v>Golugonda</v>
          </cell>
          <cell r="C12" t="str">
            <v>NO</v>
          </cell>
          <cell r="G12">
            <v>-1</v>
          </cell>
          <cell r="H12">
            <v>20</v>
          </cell>
          <cell r="J12">
            <v>0</v>
          </cell>
        </row>
        <row r="13">
          <cell r="B13" t="str">
            <v>K.D.Peta</v>
          </cell>
          <cell r="C13" t="str">
            <v>YES</v>
          </cell>
          <cell r="G13">
            <v>-1</v>
          </cell>
          <cell r="H13">
            <v>20</v>
          </cell>
          <cell r="J13">
            <v>0</v>
          </cell>
        </row>
        <row r="14">
          <cell r="B14" t="str">
            <v>K.Kotapadu</v>
          </cell>
          <cell r="C14" t="str">
            <v>YES</v>
          </cell>
          <cell r="G14">
            <v>-1</v>
          </cell>
          <cell r="H14">
            <v>20</v>
          </cell>
          <cell r="J14">
            <v>0</v>
          </cell>
        </row>
        <row r="15">
          <cell r="B15" t="str">
            <v>Kasimkota</v>
          </cell>
          <cell r="C15" t="str">
            <v>YES</v>
          </cell>
          <cell r="G15">
            <v>-1</v>
          </cell>
          <cell r="H15">
            <v>20</v>
          </cell>
          <cell r="J15">
            <v>0</v>
          </cell>
        </row>
        <row r="16">
          <cell r="B16" t="str">
            <v>Kotavurtla</v>
          </cell>
          <cell r="C16" t="str">
            <v>NO</v>
          </cell>
          <cell r="G16">
            <v>-1</v>
          </cell>
          <cell r="H16">
            <v>20</v>
          </cell>
          <cell r="J16">
            <v>0</v>
          </cell>
        </row>
        <row r="17">
          <cell r="B17" t="str">
            <v>Kothakota</v>
          </cell>
          <cell r="C17" t="str">
            <v>YES</v>
          </cell>
          <cell r="G17">
            <v>-1</v>
          </cell>
          <cell r="H17">
            <v>20</v>
          </cell>
          <cell r="J17">
            <v>0</v>
          </cell>
        </row>
        <row r="18">
          <cell r="B18" t="str">
            <v>Mahila UPS, Anakapalli</v>
          </cell>
          <cell r="C18" t="str">
            <v>NO</v>
          </cell>
          <cell r="G18">
            <v>-1</v>
          </cell>
          <cell r="H18">
            <v>20</v>
          </cell>
          <cell r="J18">
            <v>0</v>
          </cell>
        </row>
        <row r="19">
          <cell r="B19" t="str">
            <v>Makavarapalem</v>
          </cell>
          <cell r="C19" t="str">
            <v>YES</v>
          </cell>
          <cell r="G19">
            <v>-1</v>
          </cell>
          <cell r="H19">
            <v>20</v>
          </cell>
          <cell r="J19">
            <v>0</v>
          </cell>
        </row>
        <row r="20">
          <cell r="B20" t="str">
            <v>Munagapaka</v>
          </cell>
          <cell r="C20" t="str">
            <v>NO</v>
          </cell>
          <cell r="G20">
            <v>-1</v>
          </cell>
          <cell r="H20">
            <v>20</v>
          </cell>
          <cell r="J20">
            <v>0</v>
          </cell>
        </row>
        <row r="21">
          <cell r="B21" t="str">
            <v>Nakkapalli</v>
          </cell>
          <cell r="C21" t="str">
            <v>YES</v>
          </cell>
          <cell r="G21">
            <v>-1</v>
          </cell>
          <cell r="H21">
            <v>20</v>
          </cell>
          <cell r="J21">
            <v>0</v>
          </cell>
        </row>
        <row r="22">
          <cell r="B22" t="str">
            <v>Narsipatnam Rural</v>
          </cell>
          <cell r="C22" t="str">
            <v>YES</v>
          </cell>
          <cell r="G22">
            <v>-1</v>
          </cell>
          <cell r="H22">
            <v>20</v>
          </cell>
          <cell r="J22">
            <v>0</v>
          </cell>
        </row>
        <row r="23">
          <cell r="B23" t="str">
            <v>Narsipatnam Town</v>
          </cell>
          <cell r="C23" t="str">
            <v>YES</v>
          </cell>
          <cell r="G23">
            <v>-1</v>
          </cell>
          <cell r="H23">
            <v>20</v>
          </cell>
          <cell r="J23">
            <v>0</v>
          </cell>
        </row>
        <row r="24">
          <cell r="B24" t="str">
            <v>Nathavaram</v>
          </cell>
          <cell r="C24" t="str">
            <v>NO</v>
          </cell>
          <cell r="G24">
            <v>-1</v>
          </cell>
          <cell r="H24">
            <v>20</v>
          </cell>
          <cell r="J24">
            <v>0</v>
          </cell>
        </row>
        <row r="25">
          <cell r="B25" t="str">
            <v>Parawada</v>
          </cell>
          <cell r="C25" t="str">
            <v>YES</v>
          </cell>
          <cell r="G25">
            <v>-1</v>
          </cell>
          <cell r="H25">
            <v>20</v>
          </cell>
          <cell r="J25">
            <v>0</v>
          </cell>
        </row>
        <row r="26">
          <cell r="B26" t="str">
            <v>Payakaraopeta</v>
          </cell>
          <cell r="C26" t="str">
            <v>YES</v>
          </cell>
          <cell r="G26">
            <v>-1</v>
          </cell>
          <cell r="H26">
            <v>20</v>
          </cell>
          <cell r="J26">
            <v>0</v>
          </cell>
        </row>
        <row r="27">
          <cell r="B27" t="str">
            <v>Rambilli</v>
          </cell>
          <cell r="C27" t="str">
            <v>YES</v>
          </cell>
          <cell r="G27">
            <v>-1</v>
          </cell>
          <cell r="H27">
            <v>20</v>
          </cell>
          <cell r="J27">
            <v>0</v>
          </cell>
        </row>
        <row r="28">
          <cell r="B28" t="str">
            <v>Ravikamatham</v>
          </cell>
          <cell r="C28" t="str">
            <v>NO</v>
          </cell>
          <cell r="G28">
            <v>-1</v>
          </cell>
          <cell r="H28">
            <v>20</v>
          </cell>
          <cell r="J28">
            <v>0</v>
          </cell>
        </row>
        <row r="29">
          <cell r="B29" t="str">
            <v>Rolugunta</v>
          </cell>
          <cell r="C29" t="str">
            <v>NO</v>
          </cell>
          <cell r="G29">
            <v>-1</v>
          </cell>
          <cell r="H29">
            <v>20</v>
          </cell>
          <cell r="J29">
            <v>0</v>
          </cell>
        </row>
        <row r="30">
          <cell r="B30" t="str">
            <v>S.Rayavaram</v>
          </cell>
          <cell r="C30" t="str">
            <v>YES</v>
          </cell>
          <cell r="G30">
            <v>-1</v>
          </cell>
          <cell r="H30">
            <v>20</v>
          </cell>
          <cell r="J30">
            <v>0</v>
          </cell>
        </row>
        <row r="31">
          <cell r="B31" t="str">
            <v>Sabbavaram</v>
          </cell>
          <cell r="C31" t="str">
            <v>NO</v>
          </cell>
          <cell r="G31">
            <v>-1</v>
          </cell>
          <cell r="H31">
            <v>20</v>
          </cell>
          <cell r="J31">
            <v>0</v>
          </cell>
        </row>
        <row r="32">
          <cell r="B32" t="str">
            <v>V.Madugula</v>
          </cell>
          <cell r="C32" t="str">
            <v>NO</v>
          </cell>
          <cell r="G32">
            <v>-1</v>
          </cell>
          <cell r="H32">
            <v>20</v>
          </cell>
          <cell r="J32">
            <v>0</v>
          </cell>
        </row>
        <row r="33">
          <cell r="B33" t="str">
            <v>Yelamanchili Rural</v>
          </cell>
          <cell r="C33" t="str">
            <v>NO</v>
          </cell>
          <cell r="G33">
            <v>-1</v>
          </cell>
          <cell r="H33">
            <v>20</v>
          </cell>
          <cell r="J33">
            <v>0</v>
          </cell>
        </row>
        <row r="34">
          <cell r="B34" t="str">
            <v>Yelamanchili Town</v>
          </cell>
          <cell r="C34" t="str">
            <v>YES</v>
          </cell>
          <cell r="G34">
            <v>-1</v>
          </cell>
          <cell r="H34">
            <v>20</v>
          </cell>
          <cell r="J34">
            <v>0</v>
          </cell>
        </row>
        <row r="35">
          <cell r="B35" t="str">
            <v>Yelamanchili Traffic</v>
          </cell>
          <cell r="C35" t="str">
            <v>YES</v>
          </cell>
          <cell r="G35">
            <v>-1</v>
          </cell>
          <cell r="H35">
            <v>20</v>
          </cell>
          <cell r="J35">
            <v>0</v>
          </cell>
        </row>
      </sheetData>
      <sheetData sheetId="17">
        <row r="2">
          <cell r="B2" t="str">
            <v>PS</v>
          </cell>
          <cell r="C2" t="str">
            <v>Total Tabs
 Config</v>
          </cell>
          <cell r="D2" t="str">
            <v>ERU Connected Live</v>
          </cell>
          <cell r="E2" t="str">
            <v>Dis-connected Tabs</v>
          </cell>
          <cell r="F2" t="str">
            <v>% of Disconnected Tabs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>
            <v>0</v>
          </cell>
          <cell r="G3">
            <v>100</v>
          </cell>
          <cell r="H3">
            <v>0</v>
          </cell>
        </row>
        <row r="4">
          <cell r="B4" t="str">
            <v>Anakapalli Rural</v>
          </cell>
          <cell r="F4">
            <v>0</v>
          </cell>
          <cell r="G4">
            <v>100</v>
          </cell>
          <cell r="H4">
            <v>0</v>
          </cell>
        </row>
        <row r="5">
          <cell r="B5" t="str">
            <v>Anakapalli Town</v>
          </cell>
          <cell r="F5">
            <v>0</v>
          </cell>
          <cell r="G5">
            <v>100</v>
          </cell>
          <cell r="H5">
            <v>0</v>
          </cell>
        </row>
        <row r="6">
          <cell r="B6" t="str">
            <v>Anakapalli Traffic</v>
          </cell>
          <cell r="F6">
            <v>0</v>
          </cell>
          <cell r="G6">
            <v>100</v>
          </cell>
          <cell r="H6">
            <v>0</v>
          </cell>
        </row>
        <row r="7">
          <cell r="B7" t="str">
            <v>Atchutapuram</v>
          </cell>
          <cell r="F7">
            <v>0</v>
          </cell>
          <cell r="G7">
            <v>100</v>
          </cell>
          <cell r="H7">
            <v>0</v>
          </cell>
        </row>
        <row r="8">
          <cell r="B8" t="str">
            <v>Butchiyyapeta</v>
          </cell>
          <cell r="F8">
            <v>0</v>
          </cell>
          <cell r="G8">
            <v>100</v>
          </cell>
          <cell r="H8">
            <v>0</v>
          </cell>
        </row>
        <row r="9">
          <cell r="B9" t="str">
            <v>Cheedikada</v>
          </cell>
          <cell r="F9">
            <v>0</v>
          </cell>
          <cell r="G9">
            <v>100</v>
          </cell>
          <cell r="H9">
            <v>0</v>
          </cell>
        </row>
        <row r="10">
          <cell r="B10" t="str">
            <v>Chodavaram</v>
          </cell>
          <cell r="F10">
            <v>0</v>
          </cell>
          <cell r="G10">
            <v>100</v>
          </cell>
          <cell r="H10">
            <v>0</v>
          </cell>
        </row>
        <row r="11">
          <cell r="B11" t="str">
            <v>Devarapalli</v>
          </cell>
          <cell r="F11">
            <v>0</v>
          </cell>
          <cell r="G11">
            <v>100</v>
          </cell>
          <cell r="H11">
            <v>0</v>
          </cell>
        </row>
        <row r="12">
          <cell r="B12" t="str">
            <v>Golugonda</v>
          </cell>
          <cell r="F12">
            <v>0</v>
          </cell>
          <cell r="G12">
            <v>100</v>
          </cell>
          <cell r="H12">
            <v>0</v>
          </cell>
        </row>
        <row r="13">
          <cell r="B13" t="str">
            <v>K.D.Peta</v>
          </cell>
          <cell r="F13">
            <v>0</v>
          </cell>
          <cell r="G13">
            <v>100</v>
          </cell>
          <cell r="H13">
            <v>0</v>
          </cell>
        </row>
        <row r="14">
          <cell r="B14" t="str">
            <v>K.Kotapadu</v>
          </cell>
          <cell r="F14">
            <v>0</v>
          </cell>
          <cell r="G14">
            <v>100</v>
          </cell>
          <cell r="H14">
            <v>0</v>
          </cell>
        </row>
        <row r="15">
          <cell r="B15" t="str">
            <v>Kasimkota</v>
          </cell>
          <cell r="F15">
            <v>0</v>
          </cell>
          <cell r="G15">
            <v>100</v>
          </cell>
          <cell r="H15">
            <v>0</v>
          </cell>
        </row>
        <row r="16">
          <cell r="B16" t="str">
            <v>Kotavurtla</v>
          </cell>
          <cell r="F16">
            <v>0</v>
          </cell>
          <cell r="G16">
            <v>100</v>
          </cell>
          <cell r="H16">
            <v>0</v>
          </cell>
        </row>
        <row r="17">
          <cell r="B17" t="str">
            <v>Kothakota</v>
          </cell>
          <cell r="F17">
            <v>0</v>
          </cell>
          <cell r="G17">
            <v>100</v>
          </cell>
          <cell r="H17">
            <v>0</v>
          </cell>
        </row>
        <row r="18">
          <cell r="B18" t="str">
            <v>Mahila UPS, Anakapalli</v>
          </cell>
          <cell r="F18">
            <v>0</v>
          </cell>
          <cell r="G18">
            <v>100</v>
          </cell>
          <cell r="H18">
            <v>0</v>
          </cell>
        </row>
        <row r="19">
          <cell r="B19" t="str">
            <v>Makavarapalem</v>
          </cell>
          <cell r="F19">
            <v>0</v>
          </cell>
          <cell r="G19">
            <v>100</v>
          </cell>
          <cell r="H19">
            <v>0</v>
          </cell>
        </row>
        <row r="20">
          <cell r="B20" t="str">
            <v>Munagapaka</v>
          </cell>
          <cell r="F20">
            <v>0</v>
          </cell>
          <cell r="G20">
            <v>100</v>
          </cell>
          <cell r="H20">
            <v>0</v>
          </cell>
        </row>
        <row r="21">
          <cell r="B21" t="str">
            <v>Nakkapalli</v>
          </cell>
          <cell r="F21">
            <v>0</v>
          </cell>
          <cell r="G21">
            <v>100</v>
          </cell>
          <cell r="H21">
            <v>0</v>
          </cell>
        </row>
        <row r="22">
          <cell r="B22" t="str">
            <v>Narsipatnam Rural</v>
          </cell>
          <cell r="F22">
            <v>0</v>
          </cell>
          <cell r="G22">
            <v>100</v>
          </cell>
          <cell r="H22">
            <v>0</v>
          </cell>
        </row>
        <row r="23">
          <cell r="B23" t="str">
            <v>Narsipatnam Town</v>
          </cell>
          <cell r="F23">
            <v>0</v>
          </cell>
          <cell r="G23">
            <v>100</v>
          </cell>
          <cell r="H23">
            <v>0</v>
          </cell>
        </row>
        <row r="24">
          <cell r="B24" t="str">
            <v>Nathavaram</v>
          </cell>
          <cell r="F24">
            <v>0</v>
          </cell>
          <cell r="G24">
            <v>100</v>
          </cell>
          <cell r="H24">
            <v>0</v>
          </cell>
        </row>
        <row r="25">
          <cell r="B25" t="str">
            <v>Parawada</v>
          </cell>
          <cell r="F25">
            <v>0</v>
          </cell>
          <cell r="G25">
            <v>100</v>
          </cell>
          <cell r="H25">
            <v>0</v>
          </cell>
        </row>
        <row r="26">
          <cell r="B26" t="str">
            <v>Payakaraopeta</v>
          </cell>
          <cell r="F26">
            <v>0</v>
          </cell>
          <cell r="G26">
            <v>100</v>
          </cell>
          <cell r="H26">
            <v>0</v>
          </cell>
        </row>
        <row r="27">
          <cell r="B27" t="str">
            <v>Rambilli</v>
          </cell>
          <cell r="F27">
            <v>0</v>
          </cell>
          <cell r="G27">
            <v>100</v>
          </cell>
          <cell r="H27">
            <v>0</v>
          </cell>
        </row>
        <row r="28">
          <cell r="B28" t="str">
            <v>Ravikamatham</v>
          </cell>
          <cell r="F28">
            <v>0</v>
          </cell>
          <cell r="G28">
            <v>100</v>
          </cell>
          <cell r="H28">
            <v>0</v>
          </cell>
        </row>
        <row r="29">
          <cell r="B29" t="str">
            <v>Rolugunta</v>
          </cell>
          <cell r="F29">
            <v>0</v>
          </cell>
          <cell r="G29">
            <v>100</v>
          </cell>
          <cell r="H29">
            <v>0</v>
          </cell>
        </row>
        <row r="30">
          <cell r="B30" t="str">
            <v>S.Rayavaram</v>
          </cell>
          <cell r="F30">
            <v>0</v>
          </cell>
          <cell r="G30">
            <v>100</v>
          </cell>
          <cell r="H30">
            <v>0</v>
          </cell>
        </row>
        <row r="31">
          <cell r="B31" t="str">
            <v>Sabbavaram</v>
          </cell>
          <cell r="F31">
            <v>0</v>
          </cell>
          <cell r="G31">
            <v>100</v>
          </cell>
          <cell r="H31">
            <v>0</v>
          </cell>
        </row>
        <row r="32">
          <cell r="B32" t="str">
            <v>V.Madugula</v>
          </cell>
          <cell r="F32">
            <v>0</v>
          </cell>
          <cell r="G32">
            <v>100</v>
          </cell>
          <cell r="H32">
            <v>0</v>
          </cell>
        </row>
        <row r="33">
          <cell r="B33" t="str">
            <v>Yelamanchili Rural</v>
          </cell>
          <cell r="F33">
            <v>0</v>
          </cell>
          <cell r="G33">
            <v>100</v>
          </cell>
          <cell r="H33">
            <v>0</v>
          </cell>
        </row>
        <row r="34">
          <cell r="B34" t="str">
            <v>Yelamanchili Town</v>
          </cell>
          <cell r="F34">
            <v>0</v>
          </cell>
          <cell r="G34">
            <v>100</v>
          </cell>
          <cell r="H34">
            <v>0</v>
          </cell>
        </row>
        <row r="35">
          <cell r="B35" t="str">
            <v>Yelamanchili Traffic</v>
          </cell>
          <cell r="F35">
            <v>0</v>
          </cell>
          <cell r="G35">
            <v>100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100</v>
          </cell>
          <cell r="H36">
            <v>0</v>
          </cell>
        </row>
      </sheetData>
      <sheetData sheetId="18">
        <row r="2">
          <cell r="B2" t="str">
            <v>PS</v>
          </cell>
          <cell r="C2" t="str">
            <v>Total calls Assigned to PS</v>
          </cell>
          <cell r="D2" t="str">
            <v>No. of Calls Assigned to Tabs by PS</v>
          </cell>
          <cell r="E2" t="str">
            <v>No. of Calls not Assigned to Tabs by PS</v>
          </cell>
          <cell r="F2" t="str">
            <v xml:space="preserve"> Average Response Time
(HH:MM:SS)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 t="str">
            <v>00.00.44</v>
          </cell>
          <cell r="G3">
            <v>50</v>
          </cell>
          <cell r="H3">
            <v>0</v>
          </cell>
        </row>
        <row r="4">
          <cell r="B4" t="str">
            <v>Anakapalli Rural</v>
          </cell>
          <cell r="F4" t="str">
            <v>00.03.13</v>
          </cell>
          <cell r="G4">
            <v>50</v>
          </cell>
          <cell r="H4">
            <v>0</v>
          </cell>
        </row>
        <row r="5">
          <cell r="B5" t="str">
            <v>Anakapalli Town</v>
          </cell>
          <cell r="F5" t="str">
            <v>00.02.57</v>
          </cell>
          <cell r="G5">
            <v>50</v>
          </cell>
          <cell r="H5">
            <v>0</v>
          </cell>
        </row>
        <row r="6">
          <cell r="B6" t="str">
            <v>Anakapalli Traffic</v>
          </cell>
          <cell r="F6" t="str">
            <v>00.00.00</v>
          </cell>
          <cell r="G6">
            <v>50</v>
          </cell>
          <cell r="H6">
            <v>0</v>
          </cell>
        </row>
        <row r="7">
          <cell r="B7" t="str">
            <v>Atchutapuram</v>
          </cell>
          <cell r="F7" t="str">
            <v>00.03.37</v>
          </cell>
          <cell r="G7">
            <v>50</v>
          </cell>
          <cell r="H7">
            <v>0</v>
          </cell>
        </row>
        <row r="8">
          <cell r="B8" t="str">
            <v>Butchiyyapeta</v>
          </cell>
          <cell r="F8" t="str">
            <v>00.02.19</v>
          </cell>
          <cell r="G8">
            <v>50</v>
          </cell>
          <cell r="H8">
            <v>0</v>
          </cell>
        </row>
        <row r="9">
          <cell r="B9" t="str">
            <v>Cheedikada</v>
          </cell>
          <cell r="F9" t="str">
            <v>00.02.16</v>
          </cell>
          <cell r="G9">
            <v>50</v>
          </cell>
          <cell r="H9">
            <v>0</v>
          </cell>
        </row>
        <row r="10">
          <cell r="B10" t="str">
            <v>Chodavaram</v>
          </cell>
          <cell r="F10" t="str">
            <v>00.05.16</v>
          </cell>
          <cell r="G10">
            <v>50</v>
          </cell>
          <cell r="H10">
            <v>0</v>
          </cell>
        </row>
        <row r="11">
          <cell r="B11" t="str">
            <v>Devarapalli</v>
          </cell>
          <cell r="F11" t="str">
            <v>00.02.10</v>
          </cell>
          <cell r="G11">
            <v>50</v>
          </cell>
          <cell r="H11">
            <v>0</v>
          </cell>
        </row>
        <row r="12">
          <cell r="B12" t="str">
            <v>Golugonda</v>
          </cell>
          <cell r="F12" t="str">
            <v>00.00.00</v>
          </cell>
          <cell r="G12">
            <v>50</v>
          </cell>
          <cell r="H12">
            <v>0</v>
          </cell>
        </row>
        <row r="13">
          <cell r="B13" t="str">
            <v>K.D.Peta</v>
          </cell>
          <cell r="F13" t="str">
            <v>00.04.17</v>
          </cell>
          <cell r="G13">
            <v>50</v>
          </cell>
          <cell r="H13">
            <v>0</v>
          </cell>
        </row>
        <row r="14">
          <cell r="B14" t="str">
            <v>K.Kotapadu</v>
          </cell>
          <cell r="F14" t="str">
            <v>00.06.43</v>
          </cell>
          <cell r="G14">
            <v>50</v>
          </cell>
          <cell r="H14">
            <v>0</v>
          </cell>
        </row>
        <row r="15">
          <cell r="B15" t="str">
            <v>Kasimkota</v>
          </cell>
          <cell r="F15" t="str">
            <v>00.02.22</v>
          </cell>
          <cell r="G15">
            <v>50</v>
          </cell>
          <cell r="H15">
            <v>0</v>
          </cell>
        </row>
        <row r="16">
          <cell r="B16" t="str">
            <v>Kotavurtla</v>
          </cell>
          <cell r="F16" t="str">
            <v>00.04.03</v>
          </cell>
          <cell r="G16">
            <v>50</v>
          </cell>
          <cell r="H16">
            <v>0</v>
          </cell>
        </row>
        <row r="17">
          <cell r="B17" t="str">
            <v>Kothakota</v>
          </cell>
          <cell r="F17" t="str">
            <v>00.00.28</v>
          </cell>
          <cell r="G17">
            <v>50</v>
          </cell>
          <cell r="H17">
            <v>0</v>
          </cell>
        </row>
        <row r="18">
          <cell r="B18" t="str">
            <v>Mahila UPS, Anakapalli</v>
          </cell>
          <cell r="F18" t="str">
            <v>00.00.00</v>
          </cell>
          <cell r="G18">
            <v>50</v>
          </cell>
          <cell r="H18">
            <v>0</v>
          </cell>
        </row>
        <row r="19">
          <cell r="B19" t="str">
            <v>Makavarapalem</v>
          </cell>
          <cell r="F19" t="str">
            <v>00.02.45</v>
          </cell>
          <cell r="G19">
            <v>50</v>
          </cell>
          <cell r="H19">
            <v>0</v>
          </cell>
        </row>
        <row r="20">
          <cell r="B20" t="str">
            <v>Munagapaka</v>
          </cell>
          <cell r="F20" t="str">
            <v>00.02.08</v>
          </cell>
          <cell r="G20">
            <v>50</v>
          </cell>
          <cell r="H20">
            <v>0</v>
          </cell>
        </row>
        <row r="21">
          <cell r="B21" t="str">
            <v>Nakkapalli</v>
          </cell>
          <cell r="F21" t="str">
            <v>00.01.06</v>
          </cell>
          <cell r="G21">
            <v>50</v>
          </cell>
          <cell r="H21">
            <v>0</v>
          </cell>
        </row>
        <row r="22">
          <cell r="B22" t="str">
            <v>Narsipatnam Rural</v>
          </cell>
          <cell r="F22" t="str">
            <v>00.01.03</v>
          </cell>
          <cell r="G22">
            <v>50</v>
          </cell>
          <cell r="H22">
            <v>0</v>
          </cell>
        </row>
        <row r="23">
          <cell r="B23" t="str">
            <v>Narsipatnam Town</v>
          </cell>
          <cell r="F23" t="str">
            <v>00.02.41</v>
          </cell>
          <cell r="G23">
            <v>50</v>
          </cell>
          <cell r="H23">
            <v>0</v>
          </cell>
        </row>
        <row r="24">
          <cell r="B24" t="str">
            <v>Nathavaram</v>
          </cell>
          <cell r="F24" t="str">
            <v>00.03.44</v>
          </cell>
          <cell r="G24">
            <v>50</v>
          </cell>
          <cell r="H24">
            <v>0</v>
          </cell>
        </row>
        <row r="25">
          <cell r="B25" t="str">
            <v>Parawada</v>
          </cell>
          <cell r="F25" t="str">
            <v>00.05.17</v>
          </cell>
          <cell r="G25">
            <v>50</v>
          </cell>
          <cell r="H25">
            <v>0</v>
          </cell>
        </row>
        <row r="26">
          <cell r="B26" t="str">
            <v>Payakaraopeta</v>
          </cell>
          <cell r="F26" t="str">
            <v>00.02.03</v>
          </cell>
          <cell r="G26">
            <v>50</v>
          </cell>
          <cell r="H26">
            <v>0</v>
          </cell>
        </row>
        <row r="27">
          <cell r="B27" t="str">
            <v>Rambilli</v>
          </cell>
          <cell r="F27" t="str">
            <v>00.03.48</v>
          </cell>
          <cell r="G27">
            <v>50</v>
          </cell>
          <cell r="H27">
            <v>0</v>
          </cell>
        </row>
        <row r="28">
          <cell r="B28" t="str">
            <v>Ravikamatham</v>
          </cell>
          <cell r="F28" t="str">
            <v>00.03.07</v>
          </cell>
          <cell r="G28">
            <v>50</v>
          </cell>
          <cell r="H28">
            <v>0</v>
          </cell>
        </row>
        <row r="29">
          <cell r="B29" t="str">
            <v>Rolugunta</v>
          </cell>
          <cell r="F29" t="str">
            <v>00.03.16</v>
          </cell>
          <cell r="G29">
            <v>50</v>
          </cell>
          <cell r="H29">
            <v>0</v>
          </cell>
        </row>
        <row r="30">
          <cell r="B30" t="str">
            <v>S.Rayavaram</v>
          </cell>
          <cell r="F30" t="str">
            <v>00.03.05</v>
          </cell>
          <cell r="G30">
            <v>50</v>
          </cell>
          <cell r="H30">
            <v>0</v>
          </cell>
        </row>
        <row r="31">
          <cell r="B31" t="str">
            <v>Sabbavaram</v>
          </cell>
          <cell r="F31" t="str">
            <v>00.02.44</v>
          </cell>
          <cell r="G31">
            <v>50</v>
          </cell>
          <cell r="H31">
            <v>0</v>
          </cell>
        </row>
        <row r="32">
          <cell r="B32" t="str">
            <v>V.Madugula</v>
          </cell>
          <cell r="F32" t="str">
            <v>00.07.49</v>
          </cell>
          <cell r="G32">
            <v>50</v>
          </cell>
          <cell r="H32">
            <v>0</v>
          </cell>
        </row>
        <row r="33">
          <cell r="B33" t="str">
            <v>Yelamanchili Rural</v>
          </cell>
          <cell r="F33" t="str">
            <v>00.03.53</v>
          </cell>
          <cell r="G33">
            <v>50</v>
          </cell>
          <cell r="H33">
            <v>0</v>
          </cell>
        </row>
        <row r="34">
          <cell r="B34" t="str">
            <v>Yelamanchili Town</v>
          </cell>
          <cell r="F34" t="str">
            <v>00.02.19</v>
          </cell>
          <cell r="G34">
            <v>50</v>
          </cell>
          <cell r="H34">
            <v>0</v>
          </cell>
        </row>
        <row r="35">
          <cell r="B35" t="str">
            <v>Yelamanchili Traffic</v>
          </cell>
          <cell r="F35">
            <v>0</v>
          </cell>
          <cell r="G35">
            <v>50</v>
          </cell>
          <cell r="H35">
            <v>0</v>
          </cell>
        </row>
        <row r="36">
          <cell r="C36">
            <v>278</v>
          </cell>
          <cell r="D36">
            <v>278</v>
          </cell>
          <cell r="E36">
            <v>0</v>
          </cell>
          <cell r="F36">
            <v>4.3828295206971681E-3</v>
          </cell>
          <cell r="G36" t="e">
            <v>#DIV/0!</v>
          </cell>
          <cell r="H36">
            <v>3.4914422571411872</v>
          </cell>
        </row>
      </sheetData>
      <sheetData sheetId="19">
        <row r="2">
          <cell r="B2" t="str">
            <v>PS</v>
          </cell>
          <cell r="C2">
            <v>46281</v>
          </cell>
          <cell r="E2">
            <v>46281</v>
          </cell>
          <cell r="G2">
            <v>2</v>
          </cell>
          <cell r="I2">
            <v>3</v>
          </cell>
          <cell r="K2">
            <v>4</v>
          </cell>
          <cell r="M2">
            <v>5</v>
          </cell>
          <cell r="O2">
            <v>6</v>
          </cell>
          <cell r="Q2" t="str">
            <v>MARKS</v>
          </cell>
          <cell r="R2" t="str">
            <v>RAW VALUE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A.Koduru</v>
          </cell>
          <cell r="C4">
            <v>1</v>
          </cell>
          <cell r="E4">
            <v>1</v>
          </cell>
          <cell r="F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M4">
            <v>1</v>
          </cell>
          <cell r="N4">
            <v>1</v>
          </cell>
          <cell r="O4">
            <v>1</v>
          </cell>
          <cell r="Q4">
            <v>3.5714285714285716</v>
          </cell>
          <cell r="R4">
            <v>71.428571428571431</v>
          </cell>
        </row>
        <row r="5">
          <cell r="B5" t="str">
            <v>Anakapalli Rural</v>
          </cell>
          <cell r="C5">
            <v>4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5</v>
          </cell>
          <cell r="N5">
            <v>1</v>
          </cell>
          <cell r="O5">
            <v>1</v>
          </cell>
          <cell r="Q5">
            <v>4.6428571428571432</v>
          </cell>
          <cell r="R5">
            <v>92.857142857142861</v>
          </cell>
        </row>
        <row r="6">
          <cell r="B6" t="str">
            <v>Anakapalli Town</v>
          </cell>
          <cell r="C6">
            <v>2</v>
          </cell>
          <cell r="D6">
            <v>1</v>
          </cell>
          <cell r="E6">
            <v>2</v>
          </cell>
          <cell r="F6">
            <v>1</v>
          </cell>
          <cell r="G6">
            <v>1</v>
          </cell>
          <cell r="H6">
            <v>1</v>
          </cell>
          <cell r="I6">
            <v>2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6</v>
          </cell>
          <cell r="P6">
            <v>1</v>
          </cell>
          <cell r="Q6">
            <v>5</v>
          </cell>
          <cell r="R6">
            <v>100</v>
          </cell>
        </row>
        <row r="7">
          <cell r="B7" t="str">
            <v>Anakapalli Traffic</v>
          </cell>
          <cell r="C7">
            <v>1</v>
          </cell>
          <cell r="E7">
            <v>1</v>
          </cell>
          <cell r="F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Q7">
            <v>3.5714285714285716</v>
          </cell>
          <cell r="R7">
            <v>71.428571428571431</v>
          </cell>
        </row>
        <row r="8">
          <cell r="B8" t="str">
            <v>Atchutapuram</v>
          </cell>
          <cell r="G8">
            <v>1</v>
          </cell>
          <cell r="K8">
            <v>1</v>
          </cell>
          <cell r="M8">
            <v>1</v>
          </cell>
          <cell r="O8">
            <v>1</v>
          </cell>
          <cell r="Q8">
            <v>1.4285714285714286</v>
          </cell>
          <cell r="R8">
            <v>28.571428571428569</v>
          </cell>
        </row>
        <row r="9">
          <cell r="B9" t="str">
            <v>Butchiyyapeta</v>
          </cell>
          <cell r="C9">
            <v>3</v>
          </cell>
          <cell r="G9">
            <v>2</v>
          </cell>
          <cell r="J9">
            <v>1</v>
          </cell>
          <cell r="M9">
            <v>3</v>
          </cell>
          <cell r="O9">
            <v>1</v>
          </cell>
          <cell r="Q9">
            <v>1.7857142857142858</v>
          </cell>
          <cell r="R9">
            <v>35.714285714285715</v>
          </cell>
        </row>
        <row r="10">
          <cell r="B10" t="str">
            <v>Cheedikada</v>
          </cell>
          <cell r="C10">
            <v>1</v>
          </cell>
          <cell r="Q10">
            <v>0.35714285714285715</v>
          </cell>
          <cell r="R10">
            <v>7.1428571428571423</v>
          </cell>
        </row>
        <row r="11">
          <cell r="B11" t="str">
            <v>Chodavaram</v>
          </cell>
          <cell r="C11">
            <v>4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I11">
            <v>1</v>
          </cell>
          <cell r="J11">
            <v>1</v>
          </cell>
          <cell r="K11">
            <v>1</v>
          </cell>
          <cell r="M11">
            <v>1</v>
          </cell>
          <cell r="N11">
            <v>1</v>
          </cell>
          <cell r="Q11">
            <v>3.5714285714285716</v>
          </cell>
          <cell r="R11">
            <v>71.428571428571431</v>
          </cell>
        </row>
        <row r="12">
          <cell r="B12" t="str">
            <v>Devarapalli</v>
          </cell>
          <cell r="K12">
            <v>1</v>
          </cell>
          <cell r="M12">
            <v>1</v>
          </cell>
          <cell r="Q12">
            <v>0.7142857142857143</v>
          </cell>
          <cell r="R12">
            <v>14.285714285714285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J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Q13">
            <v>3.9285714285714284</v>
          </cell>
          <cell r="R13">
            <v>78.571428571428569</v>
          </cell>
        </row>
        <row r="14">
          <cell r="B14" t="str">
            <v>K.D.Peta</v>
          </cell>
          <cell r="N14">
            <v>1</v>
          </cell>
          <cell r="Q14">
            <v>0.35714285714285715</v>
          </cell>
          <cell r="R14">
            <v>7.1428571428571423</v>
          </cell>
        </row>
        <row r="15">
          <cell r="B15" t="str">
            <v>K.Kotapadu</v>
          </cell>
          <cell r="I15">
            <v>3</v>
          </cell>
          <cell r="Q15">
            <v>0.35714285714285715</v>
          </cell>
          <cell r="R15">
            <v>7.1428571428571423</v>
          </cell>
        </row>
        <row r="16">
          <cell r="B16" t="str">
            <v>Kasimkota</v>
          </cell>
          <cell r="C16">
            <v>1</v>
          </cell>
          <cell r="E16">
            <v>1</v>
          </cell>
          <cell r="G16">
            <v>2</v>
          </cell>
          <cell r="H16">
            <v>1</v>
          </cell>
          <cell r="I16">
            <v>1</v>
          </cell>
          <cell r="K16">
            <v>1</v>
          </cell>
          <cell r="L16">
            <v>1</v>
          </cell>
          <cell r="M16">
            <v>1</v>
          </cell>
          <cell r="O16">
            <v>1</v>
          </cell>
          <cell r="Q16">
            <v>3.2142857142857144</v>
          </cell>
          <cell r="R16">
            <v>64.285714285714292</v>
          </cell>
        </row>
        <row r="17">
          <cell r="B17" t="str">
            <v>Kotavurtla</v>
          </cell>
          <cell r="C17">
            <v>3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26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5</v>
          </cell>
          <cell r="R17">
            <v>100</v>
          </cell>
        </row>
        <row r="18">
          <cell r="B18" t="str">
            <v>Kothakota</v>
          </cell>
          <cell r="Q18">
            <v>0</v>
          </cell>
          <cell r="R18">
            <v>0</v>
          </cell>
        </row>
        <row r="19">
          <cell r="B19" t="str">
            <v>Mahila UPS, Anakapalli</v>
          </cell>
          <cell r="Q19">
            <v>0</v>
          </cell>
          <cell r="R19">
            <v>0</v>
          </cell>
        </row>
        <row r="20">
          <cell r="B20" t="str">
            <v>Makavarapalem</v>
          </cell>
          <cell r="Q20">
            <v>0</v>
          </cell>
          <cell r="R20">
            <v>0</v>
          </cell>
        </row>
        <row r="21">
          <cell r="B21" t="str">
            <v>Munagapaka</v>
          </cell>
          <cell r="C21">
            <v>2</v>
          </cell>
          <cell r="D21">
            <v>1</v>
          </cell>
          <cell r="E21">
            <v>4</v>
          </cell>
          <cell r="F21">
            <v>1</v>
          </cell>
          <cell r="G21">
            <v>6</v>
          </cell>
          <cell r="I21">
            <v>1</v>
          </cell>
          <cell r="J21">
            <v>1</v>
          </cell>
          <cell r="K21">
            <v>3</v>
          </cell>
          <cell r="M21">
            <v>2</v>
          </cell>
          <cell r="N21">
            <v>1</v>
          </cell>
          <cell r="Q21">
            <v>3.5714285714285716</v>
          </cell>
          <cell r="R21">
            <v>71.428571428571431</v>
          </cell>
        </row>
        <row r="22">
          <cell r="B22" t="str">
            <v>Nakkapalli</v>
          </cell>
          <cell r="Q22">
            <v>0</v>
          </cell>
          <cell r="R22">
            <v>0</v>
          </cell>
        </row>
        <row r="23">
          <cell r="B23" t="str">
            <v>Narsipatnam Rural</v>
          </cell>
          <cell r="Q23">
            <v>0</v>
          </cell>
          <cell r="R23">
            <v>0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Q24">
            <v>4.2857142857142856</v>
          </cell>
          <cell r="R24">
            <v>85.714285714285708</v>
          </cell>
        </row>
        <row r="25">
          <cell r="B25" t="str">
            <v>Nathavaram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H25">
            <v>1</v>
          </cell>
          <cell r="J25">
            <v>1</v>
          </cell>
          <cell r="K25">
            <v>1</v>
          </cell>
          <cell r="L25">
            <v>1</v>
          </cell>
          <cell r="O25">
            <v>2</v>
          </cell>
          <cell r="Q25">
            <v>3.2142857142857144</v>
          </cell>
          <cell r="R25">
            <v>64.285714285714292</v>
          </cell>
        </row>
        <row r="26">
          <cell r="B26" t="str">
            <v>Parawada</v>
          </cell>
          <cell r="C26">
            <v>1</v>
          </cell>
          <cell r="D26">
            <v>1</v>
          </cell>
          <cell r="F26">
            <v>1</v>
          </cell>
          <cell r="G26">
            <v>1</v>
          </cell>
          <cell r="I26">
            <v>1</v>
          </cell>
          <cell r="K26">
            <v>1</v>
          </cell>
          <cell r="L26">
            <v>1</v>
          </cell>
          <cell r="N26">
            <v>1</v>
          </cell>
          <cell r="O26">
            <v>1</v>
          </cell>
          <cell r="Q26">
            <v>3.2142857142857144</v>
          </cell>
          <cell r="R26">
            <v>64.285714285714292</v>
          </cell>
        </row>
        <row r="27">
          <cell r="B27" t="str">
            <v>Payakaraopeta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  <cell r="G27">
            <v>2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O27">
            <v>4</v>
          </cell>
          <cell r="Q27">
            <v>4.2857142857142856</v>
          </cell>
          <cell r="R27">
            <v>85.714285714285708</v>
          </cell>
        </row>
        <row r="28">
          <cell r="B28" t="str">
            <v>Rambilli</v>
          </cell>
          <cell r="G28">
            <v>1</v>
          </cell>
          <cell r="I28">
            <v>1</v>
          </cell>
          <cell r="Q28">
            <v>0.7142857142857143</v>
          </cell>
          <cell r="R28">
            <v>14.285714285714285</v>
          </cell>
        </row>
        <row r="29">
          <cell r="B29" t="str">
            <v>Ravikamatham</v>
          </cell>
          <cell r="Q29">
            <v>0</v>
          </cell>
          <cell r="R29">
            <v>0</v>
          </cell>
        </row>
        <row r="30">
          <cell r="B30" t="str">
            <v>Rolugunta</v>
          </cell>
          <cell r="Q30">
            <v>0</v>
          </cell>
          <cell r="R30">
            <v>0</v>
          </cell>
        </row>
        <row r="31">
          <cell r="B31" t="str">
            <v>S.Rayavaram</v>
          </cell>
          <cell r="C31">
            <v>1</v>
          </cell>
          <cell r="F31">
            <v>1</v>
          </cell>
          <cell r="H31">
            <v>1</v>
          </cell>
          <cell r="J31">
            <v>1</v>
          </cell>
          <cell r="L31">
            <v>1</v>
          </cell>
          <cell r="N31">
            <v>1</v>
          </cell>
          <cell r="O31">
            <v>1</v>
          </cell>
          <cell r="Q31">
            <v>2.5</v>
          </cell>
          <cell r="R31">
            <v>50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2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5</v>
          </cell>
          <cell r="R32">
            <v>100</v>
          </cell>
        </row>
        <row r="33">
          <cell r="B33" t="str">
            <v>V.Madugula</v>
          </cell>
          <cell r="D33">
            <v>1</v>
          </cell>
          <cell r="I33">
            <v>1</v>
          </cell>
          <cell r="M33">
            <v>2</v>
          </cell>
          <cell r="O33">
            <v>1</v>
          </cell>
          <cell r="Q33">
            <v>1.4285714285714286</v>
          </cell>
          <cell r="R33">
            <v>28.571428571428569</v>
          </cell>
        </row>
        <row r="34">
          <cell r="B34" t="str">
            <v>Yelamanchili Rural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J34">
            <v>1</v>
          </cell>
          <cell r="K34">
            <v>1</v>
          </cell>
          <cell r="L34">
            <v>1</v>
          </cell>
          <cell r="N34">
            <v>1</v>
          </cell>
          <cell r="O34">
            <v>1</v>
          </cell>
          <cell r="Q34">
            <v>3.9285714285714284</v>
          </cell>
          <cell r="R34">
            <v>78.571428571428569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2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M35">
            <v>2</v>
          </cell>
          <cell r="O35">
            <v>6</v>
          </cell>
          <cell r="Q35">
            <v>3.5714285714285716</v>
          </cell>
          <cell r="R35">
            <v>71.428571428571431</v>
          </cell>
        </row>
        <row r="36">
          <cell r="B36" t="str">
            <v>Yelamanchili Traffic</v>
          </cell>
          <cell r="C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J36">
            <v>1</v>
          </cell>
          <cell r="K36">
            <v>1</v>
          </cell>
          <cell r="L36">
            <v>1</v>
          </cell>
          <cell r="N36">
            <v>1</v>
          </cell>
          <cell r="O36">
            <v>1</v>
          </cell>
          <cell r="Q36">
            <v>3.5714285714285716</v>
          </cell>
          <cell r="R36">
            <v>71.428571428571431</v>
          </cell>
        </row>
        <row r="37">
          <cell r="C37">
            <v>32</v>
          </cell>
          <cell r="D37">
            <v>14</v>
          </cell>
          <cell r="E37">
            <v>22</v>
          </cell>
          <cell r="F37">
            <v>17</v>
          </cell>
          <cell r="G37">
            <v>25</v>
          </cell>
          <cell r="H37">
            <v>15</v>
          </cell>
          <cell r="I37">
            <v>45</v>
          </cell>
          <cell r="J37">
            <v>17</v>
          </cell>
          <cell r="K37">
            <v>19</v>
          </cell>
          <cell r="L37">
            <v>14</v>
          </cell>
          <cell r="M37">
            <v>26</v>
          </cell>
          <cell r="N37">
            <v>15</v>
          </cell>
          <cell r="O37">
            <v>31</v>
          </cell>
          <cell r="P37">
            <v>3</v>
          </cell>
          <cell r="Q37">
            <v>2.3268398268398265</v>
          </cell>
          <cell r="R37">
            <v>46.53679653679653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1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A.Koduru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100</v>
          </cell>
          <cell r="F4">
            <v>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100</v>
          </cell>
          <cell r="F7">
            <v>5</v>
          </cell>
        </row>
        <row r="8">
          <cell r="B8" t="str">
            <v>Butchiyyapeta</v>
          </cell>
          <cell r="C8">
            <v>3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Cheedikada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C12">
            <v>2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K.D.Peta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C14">
            <v>1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Kasimkota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Munagapaka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C25">
            <v>5</v>
          </cell>
          <cell r="D25">
            <v>5</v>
          </cell>
          <cell r="E25">
            <v>100</v>
          </cell>
          <cell r="F25">
            <v>5</v>
          </cell>
        </row>
        <row r="26">
          <cell r="B26" t="str">
            <v>Payakaraopeta</v>
          </cell>
          <cell r="C26">
            <v>1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Rambilli</v>
          </cell>
          <cell r="C27">
            <v>1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Ravikamatham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100</v>
          </cell>
          <cell r="F31">
            <v>5</v>
          </cell>
        </row>
        <row r="32">
          <cell r="B32" t="str">
            <v>V.Madugula</v>
          </cell>
          <cell r="E32">
            <v>100</v>
          </cell>
          <cell r="F32">
            <v>5</v>
          </cell>
        </row>
        <row r="33">
          <cell r="B33" t="str">
            <v>Yelamanchili Rural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E35">
            <v>100</v>
          </cell>
          <cell r="F35">
            <v>5</v>
          </cell>
        </row>
        <row r="36">
          <cell r="E36">
            <v>100</v>
          </cell>
          <cell r="F36">
            <v>0</v>
          </cell>
        </row>
      </sheetData>
      <sheetData sheetId="22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3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8E5E-F75D-4D97-A245-A246F9A8ACA1}">
  <sheetPr>
    <tabColor rgb="FF00B0F0"/>
    <pageSetUpPr fitToPage="1"/>
  </sheetPr>
  <dimension ref="A1:Y35"/>
  <sheetViews>
    <sheetView tabSelected="1" workbookViewId="0">
      <pane ySplit="2" topLeftCell="A3" activePane="bottomLeft" state="frozen"/>
      <selection pane="bottomLeft" activeCell="AE10" sqref="AE10"/>
    </sheetView>
  </sheetViews>
  <sheetFormatPr defaultRowHeight="15" x14ac:dyDescent="0.25"/>
  <cols>
    <col min="1" max="1" width="23.5703125" customWidth="1"/>
    <col min="2" max="25" width="7" style="10" customWidth="1"/>
  </cols>
  <sheetData>
    <row r="1" spans="1:25" ht="84.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3.7" customHeight="1" x14ac:dyDescent="0.25">
      <c r="A2" s="4" t="s">
        <v>25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0.1</v>
      </c>
      <c r="M2" s="6">
        <v>0.05</v>
      </c>
      <c r="N2" s="6">
        <v>0.05</v>
      </c>
      <c r="O2" s="6">
        <v>0.05</v>
      </c>
      <c r="P2" s="6">
        <v>0.05</v>
      </c>
      <c r="Q2" s="6">
        <v>0.1</v>
      </c>
      <c r="R2" s="6">
        <v>0.05</v>
      </c>
      <c r="S2" s="6">
        <v>0.05</v>
      </c>
      <c r="T2" s="6">
        <v>0.05</v>
      </c>
      <c r="U2" s="6">
        <v>0.05</v>
      </c>
      <c r="V2" s="6">
        <v>0.05</v>
      </c>
      <c r="W2" s="6">
        <v>0.05</v>
      </c>
      <c r="X2" s="5">
        <v>2.5000000000000001E-2</v>
      </c>
      <c r="Y2" s="5">
        <v>2.5000000000000001E-2</v>
      </c>
    </row>
    <row r="3" spans="1:25" s="9" customFormat="1" ht="26.1" customHeight="1" x14ac:dyDescent="0.25">
      <c r="A3" s="7" t="s">
        <v>26</v>
      </c>
      <c r="B3" s="8" t="str">
        <f>VLOOKUP(A3,'[1]1_MEDLEAPR_PME'!B:H,6,0)</f>
        <v>100.00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50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100</v>
      </c>
      <c r="L3" s="8">
        <f>VLOOKUP(A3,'[1]11_e DAR'!B:F,4,0)</f>
        <v>100</v>
      </c>
      <c r="M3" s="8">
        <f>VLOOKUP(A3,'[1]12_CEIR'!B:L,10,0)</f>
        <v>0</v>
      </c>
      <c r="N3" s="8">
        <f>VLOOKUP(A3,'[1]13_EPROSEC'!B:H,4,0)</f>
        <v>50</v>
      </c>
      <c r="O3" s="8">
        <f>VLOOKUP(A3,'[1]14_FIR_CS_COURT'!B:L,11,0)</f>
        <v>91.666666666666657</v>
      </c>
      <c r="P3" s="8">
        <f>VLOOKUP(A3,'[1]15_EOFFICE'!B:K,9,0)</f>
        <v>0</v>
      </c>
      <c r="Q3" s="8">
        <f>VLOOKUP(A3,'[1]16_APOLIS'!B:K,10,0)</f>
        <v>81.818181818181813</v>
      </c>
      <c r="R3" s="8">
        <f>VLOOKUP(A3,'[1]17_DRONE_FLYING'!B:J,9,0)</f>
        <v>0</v>
      </c>
      <c r="S3" s="8">
        <f>VLOOKUP(A3,'[1]18_112_TABS'!B:H,6,0)</f>
        <v>100</v>
      </c>
      <c r="T3" s="8">
        <f>VLOOKUP(A3,'[1]19_DIAL100_RES'!B:H,6,0)</f>
        <v>50</v>
      </c>
      <c r="U3" s="8">
        <f>VLOOKUP(A3,'[1]20_CCTV_360'!B:S,17,0)</f>
        <v>71.428571428571431</v>
      </c>
      <c r="V3" s="8">
        <f>VLOOKUP(A3,'[1]21_NEWS360AI'!B:D,2,0)</f>
        <v>0</v>
      </c>
      <c r="W3" s="8">
        <f>VLOOKUP(A3,'[1]22_eFSL'!B:F,4,0)</f>
        <v>100</v>
      </c>
      <c r="X3" s="8">
        <f>VLOOKUP(A3,'[1]23_UC3'!B:D,2,0)</f>
        <v>0</v>
      </c>
      <c r="Y3" s="8">
        <f>VLOOKUP(A3,'[1]23_UC4'!B:D,3,0)</f>
        <v>0</v>
      </c>
    </row>
    <row r="4" spans="1:25" s="9" customFormat="1" ht="26.1" customHeight="1" x14ac:dyDescent="0.25">
      <c r="A4" s="7" t="s">
        <v>27</v>
      </c>
      <c r="B4" s="8">
        <f>VLOOKUP(A4,'[1]1_MEDLEAPR_PME'!B:H,6,0)</f>
        <v>100</v>
      </c>
      <c r="C4" s="8">
        <f>VLOOKUP(A4,'[1]2_MEDLEAPR_MLC'!B:I,6,0)</f>
        <v>100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96.11</v>
      </c>
      <c r="G4" s="8">
        <f>VLOOKUP(A4,'[1]6_CCTNS_1_7'!B:P,13,0)</f>
        <v>100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43.065693430656935</v>
      </c>
      <c r="L4" s="8">
        <f>VLOOKUP(A4,'[1]11_e DAR'!B:F,4,0)</f>
        <v>100</v>
      </c>
      <c r="M4" s="8">
        <f>VLOOKUP(A4,'[1]12_CEIR'!B:L,10,0)</f>
        <v>0</v>
      </c>
      <c r="N4" s="8">
        <f>VLOOKUP(A4,'[1]13_EPROSEC'!B:H,4,0)</f>
        <v>33.333333333333336</v>
      </c>
      <c r="O4" s="8">
        <f>VLOOKUP(A4,'[1]14_FIR_CS_COURT'!B:L,11,0)</f>
        <v>52.419510314247162</v>
      </c>
      <c r="P4" s="8">
        <f>VLOOKUP(A4,'[1]15_EOFFICE'!B:K,9,0)</f>
        <v>0</v>
      </c>
      <c r="Q4" s="8">
        <f>VLOOKUP(A4,'[1]16_APOLIS'!B:K,10,0)</f>
        <v>82.35294117647058</v>
      </c>
      <c r="R4" s="8">
        <f>VLOOKUP(A4,'[1]17_DRONE_FLYING'!B:J,9,0)</f>
        <v>0</v>
      </c>
      <c r="S4" s="8">
        <f>VLOOKUP(A4,'[1]18_112_TABS'!B:H,6,0)</f>
        <v>100</v>
      </c>
      <c r="T4" s="8">
        <f>VLOOKUP(A4,'[1]19_DIAL100_RES'!B:H,6,0)</f>
        <v>50</v>
      </c>
      <c r="U4" s="8">
        <f>VLOOKUP(A4,'[1]20_CCTV_360'!B:S,17,0)</f>
        <v>92.857142857142861</v>
      </c>
      <c r="V4" s="8">
        <f>VLOOKUP(A4,'[1]21_NEWS360AI'!B:D,2,0)</f>
        <v>0</v>
      </c>
      <c r="W4" s="8">
        <f>VLOOKUP(A4,'[1]22_eFSL'!B:F,4,0)</f>
        <v>100</v>
      </c>
      <c r="X4" s="8">
        <f>VLOOKUP(A4,'[1]23_UC3'!B:D,2,0)</f>
        <v>0</v>
      </c>
      <c r="Y4" s="8">
        <f>VLOOKUP(A4,'[1]23_UC4'!B:D,3,0)</f>
        <v>0</v>
      </c>
    </row>
    <row r="5" spans="1:25" s="9" customFormat="1" ht="26.1" customHeight="1" x14ac:dyDescent="0.25">
      <c r="A5" s="7" t="s">
        <v>28</v>
      </c>
      <c r="B5" s="8">
        <f>VLOOKUP(A5,'[1]1_MEDLEAPR_PME'!B:H,6,0)</f>
        <v>100</v>
      </c>
      <c r="C5" s="8" t="str">
        <f>VLOOKUP(A5,'[1]2_MEDLEAPR_MLC'!B:I,6,0)</f>
        <v>100.00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80.41</v>
      </c>
      <c r="G5" s="8">
        <f>VLOOKUP(A5,'[1]6_CCTNS_1_7'!B:P,13,0)</f>
        <v>74.39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VLOOKUP(A5,'[1]10_ESAKSHYA'!B:L,6,0)</f>
        <v>37.517630465444284</v>
      </c>
      <c r="L5" s="8">
        <f>VLOOKUP(A5,'[1]11_e DAR'!B:F,4,0)</f>
        <v>100</v>
      </c>
      <c r="M5" s="8">
        <f>VLOOKUP(A5,'[1]12_CEIR'!B:L,10,0)</f>
        <v>0</v>
      </c>
      <c r="N5" s="8">
        <f>VLOOKUP(A5,'[1]13_EPROSEC'!B:H,4,0)</f>
        <v>0</v>
      </c>
      <c r="O5" s="8">
        <f>VLOOKUP(A5,'[1]14_FIR_CS_COURT'!B:L,11,0)</f>
        <v>50.480769230769234</v>
      </c>
      <c r="P5" s="8">
        <f>VLOOKUP(A5,'[1]15_EOFFICE'!B:K,9,0)</f>
        <v>0</v>
      </c>
      <c r="Q5" s="8">
        <f>VLOOKUP(A5,'[1]16_APOLIS'!B:K,10,0)</f>
        <v>83.333333333333329</v>
      </c>
      <c r="R5" s="8">
        <f>VLOOKUP(A5,'[1]17_DRONE_FLYING'!B:J,9,0)</f>
        <v>0</v>
      </c>
      <c r="S5" s="8">
        <f>VLOOKUP(A5,'[1]18_112_TABS'!B:H,6,0)</f>
        <v>100</v>
      </c>
      <c r="T5" s="8">
        <f>VLOOKUP(A5,'[1]19_DIAL100_RES'!B:H,6,0)</f>
        <v>50</v>
      </c>
      <c r="U5" s="8">
        <f>VLOOKUP(A5,'[1]20_CCTV_360'!B:S,17,0)</f>
        <v>100</v>
      </c>
      <c r="V5" s="8">
        <f>VLOOKUP(A5,'[1]21_NEWS360AI'!B:D,2,0)</f>
        <v>0</v>
      </c>
      <c r="W5" s="8">
        <f>VLOOKUP(A5,'[1]22_eFSL'!B:F,4,0)</f>
        <v>100</v>
      </c>
      <c r="X5" s="8">
        <f>VLOOKUP(A5,'[1]23_UC3'!B:D,2,0)</f>
        <v>0</v>
      </c>
      <c r="Y5" s="8">
        <f>VLOOKUP(A5,'[1]23_UC4'!B:D,3,0)</f>
        <v>0</v>
      </c>
    </row>
    <row r="6" spans="1:25" s="9" customFormat="1" ht="26.1" customHeight="1" x14ac:dyDescent="0.25">
      <c r="A6" s="7" t="s">
        <v>29</v>
      </c>
      <c r="B6" s="8" t="str">
        <f>VLOOKUP(A6,'[1]1_MEDLEAPR_PME'!B:H,6,0)</f>
        <v>100.00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100</v>
      </c>
      <c r="G6" s="8">
        <f>VLOOKUP(A6,'[1]6_CCTNS_1_7'!B:P,13,0)</f>
        <v>59.51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53.879310344827587</v>
      </c>
      <c r="L6" s="8">
        <f>VLOOKUP(A6,'[1]11_e DAR'!B:F,4,0)</f>
        <v>100</v>
      </c>
      <c r="M6" s="8">
        <f>VLOOKUP(A6,'[1]12_CEIR'!B:L,10,0)</f>
        <v>0</v>
      </c>
      <c r="N6" s="8">
        <f>VLOOKUP(A6,'[1]13_EPROSEC'!B:H,4,0)</f>
        <v>100</v>
      </c>
      <c r="O6" s="8">
        <f>VLOOKUP(A6,'[1]14_FIR_CS_COURT'!B:L,11,0)</f>
        <v>52.463119072708118</v>
      </c>
      <c r="P6" s="8">
        <f>VLOOKUP(A6,'[1]15_EOFFICE'!B:K,9,0)</f>
        <v>0</v>
      </c>
      <c r="Q6" s="8">
        <f>VLOOKUP(A6,'[1]16_APOLIS'!B:K,10,0)</f>
        <v>83.333333333333343</v>
      </c>
      <c r="R6" s="8">
        <f>VLOOKUP(A6,'[1]17_DRONE_FLYING'!B:J,9,0)</f>
        <v>0</v>
      </c>
      <c r="S6" s="8">
        <f>VLOOKUP(A6,'[1]18_112_TABS'!B:H,6,0)</f>
        <v>100</v>
      </c>
      <c r="T6" s="8">
        <f>VLOOKUP(A6,'[1]19_DIAL100_RES'!B:H,6,0)</f>
        <v>50</v>
      </c>
      <c r="U6" s="8">
        <f>VLOOKUP(A6,'[1]20_CCTV_360'!B:S,17,0)</f>
        <v>71.428571428571431</v>
      </c>
      <c r="V6" s="8">
        <f>VLOOKUP(A6,'[1]21_NEWS360AI'!B:D,2,0)</f>
        <v>0</v>
      </c>
      <c r="W6" s="8">
        <f>VLOOKUP(A6,'[1]22_eFSL'!B:F,4,0)</f>
        <v>100</v>
      </c>
      <c r="X6" s="8">
        <f>VLOOKUP(A6,'[1]23_UC3'!B:D,2,0)</f>
        <v>0</v>
      </c>
      <c r="Y6" s="8">
        <f>VLOOKUP(A6,'[1]23_UC4'!B:D,3,0)</f>
        <v>0</v>
      </c>
    </row>
    <row r="7" spans="1:25" s="9" customFormat="1" ht="26.1" customHeight="1" x14ac:dyDescent="0.25">
      <c r="A7" s="7" t="s">
        <v>30</v>
      </c>
      <c r="B7" s="8">
        <f>VLOOKUP(A7,'[1]1_MEDLEAPR_PME'!B:H,6,0)</f>
        <v>100</v>
      </c>
      <c r="C7" s="8">
        <f>VLOOKUP(A7,'[1]2_MEDLEAPR_MLC'!B:I,6,0)</f>
        <v>100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95.63</v>
      </c>
      <c r="G7" s="8">
        <f>VLOOKUP(A7,'[1]6_CCTNS_1_7'!B:P,13,0)</f>
        <v>100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52.686308492201043</v>
      </c>
      <c r="L7" s="8">
        <f>VLOOKUP(A7,'[1]11_e DAR'!B:F,4,0)</f>
        <v>100</v>
      </c>
      <c r="M7" s="8">
        <f>VLOOKUP(A7,'[1]12_CEIR'!B:L,10,0)</f>
        <v>0</v>
      </c>
      <c r="N7" s="8">
        <f>VLOOKUP(A7,'[1]13_EPROSEC'!B:H,4,0)</f>
        <v>100</v>
      </c>
      <c r="O7" s="8">
        <f>VLOOKUP(A7,'[1]14_FIR_CS_COURT'!B:L,11,0)</f>
        <v>93.243243243243242</v>
      </c>
      <c r="P7" s="8">
        <f>VLOOKUP(A7,'[1]15_EOFFICE'!B:K,9,0)</f>
        <v>0</v>
      </c>
      <c r="Q7" s="8">
        <f>VLOOKUP(A7,'[1]16_APOLIS'!B:K,10,0)</f>
        <v>82.35294117647058</v>
      </c>
      <c r="R7" s="8">
        <f>VLOOKUP(A7,'[1]17_DRONE_FLYING'!B:J,9,0)</f>
        <v>0</v>
      </c>
      <c r="S7" s="8">
        <f>VLOOKUP(A7,'[1]18_112_TABS'!B:H,6,0)</f>
        <v>100</v>
      </c>
      <c r="T7" s="8">
        <f>VLOOKUP(A7,'[1]19_DIAL100_RES'!B:H,6,0)</f>
        <v>50</v>
      </c>
      <c r="U7" s="8">
        <f>VLOOKUP(A7,'[1]20_CCTV_360'!B:S,17,0)</f>
        <v>28.571428571428569</v>
      </c>
      <c r="V7" s="8">
        <f>VLOOKUP(A7,'[1]21_NEWS360AI'!B:D,2,0)</f>
        <v>0</v>
      </c>
      <c r="W7" s="8">
        <f>VLOOKUP(A7,'[1]22_eFSL'!B:F,4,0)</f>
        <v>100</v>
      </c>
      <c r="X7" s="8">
        <f>VLOOKUP(A7,'[1]23_UC3'!B:D,2,0)</f>
        <v>0</v>
      </c>
      <c r="Y7" s="8">
        <f>VLOOKUP(A7,'[1]23_UC4'!B:D,3,0)</f>
        <v>0</v>
      </c>
    </row>
    <row r="8" spans="1:25" s="9" customFormat="1" ht="26.1" customHeight="1" x14ac:dyDescent="0.25">
      <c r="A8" s="7" t="s">
        <v>31</v>
      </c>
      <c r="B8" s="8">
        <f>VLOOKUP(A8,'[1]1_MEDLEAPR_PME'!B:H,6,0)</f>
        <v>100</v>
      </c>
      <c r="C8" s="8" t="str">
        <f>VLOOKUP(A8,'[1]2_MEDLEAPR_MLC'!B:I,6,0)</f>
        <v>100.00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89.57</v>
      </c>
      <c r="G8" s="8">
        <f>VLOOKUP(A8,'[1]6_CCTNS_1_7'!B:P,13,0)</f>
        <v>81.83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97.368421052631575</v>
      </c>
      <c r="L8" s="8">
        <f>VLOOKUP(A8,'[1]11_e DAR'!B:F,4,0)</f>
        <v>100</v>
      </c>
      <c r="M8" s="8">
        <f>VLOOKUP(A8,'[1]12_CEIR'!B:L,10,0)</f>
        <v>0</v>
      </c>
      <c r="N8" s="8">
        <f>VLOOKUP(A8,'[1]13_EPROSEC'!B:H,4,0)</f>
        <v>50</v>
      </c>
      <c r="O8" s="8">
        <f>VLOOKUP(A8,'[1]14_FIR_CS_COURT'!B:L,11,0)</f>
        <v>100</v>
      </c>
      <c r="P8" s="8">
        <f>VLOOKUP(A8,'[1]15_EOFFICE'!B:K,9,0)</f>
        <v>0</v>
      </c>
      <c r="Q8" s="8">
        <f>VLOOKUP(A8,'[1]16_APOLIS'!B:K,10,0)</f>
        <v>85</v>
      </c>
      <c r="R8" s="8">
        <f>VLOOKUP(A8,'[1]17_DRONE_FLYING'!B:J,9,0)</f>
        <v>0</v>
      </c>
      <c r="S8" s="8">
        <f>VLOOKUP(A8,'[1]18_112_TABS'!B:H,6,0)</f>
        <v>100</v>
      </c>
      <c r="T8" s="8">
        <f>VLOOKUP(A8,'[1]19_DIAL100_RES'!B:H,6,0)</f>
        <v>50</v>
      </c>
      <c r="U8" s="8">
        <f>VLOOKUP(A8,'[1]20_CCTV_360'!B:S,17,0)</f>
        <v>35.714285714285715</v>
      </c>
      <c r="V8" s="8">
        <f>VLOOKUP(A8,'[1]21_NEWS360AI'!B:D,2,0)</f>
        <v>0</v>
      </c>
      <c r="W8" s="8">
        <f>VLOOKUP(A8,'[1]22_eFSL'!B:F,4,0)</f>
        <v>0</v>
      </c>
      <c r="X8" s="8">
        <f>VLOOKUP(A8,'[1]23_UC3'!B:D,2,0)</f>
        <v>0</v>
      </c>
      <c r="Y8" s="8">
        <f>VLOOKUP(A8,'[1]23_UC4'!B:D,3,0)</f>
        <v>0</v>
      </c>
    </row>
    <row r="9" spans="1:25" s="9" customFormat="1" ht="26.1" customHeight="1" x14ac:dyDescent="0.25">
      <c r="A9" s="7" t="s">
        <v>32</v>
      </c>
      <c r="B9" s="8" t="str">
        <f>VLOOKUP(A9,'[1]1_MEDLEAPR_PME'!B:H,6,0)</f>
        <v>100.00</v>
      </c>
      <c r="C9" s="8" t="str">
        <f>VLOOKUP(A9,'[1]2_MEDLEAPR_MLC'!B:I,6,0)</f>
        <v>100.00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50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98.181818181818187</v>
      </c>
      <c r="L9" s="8">
        <f>VLOOKUP(A9,'[1]11_e DAR'!B:F,4,0)</f>
        <v>100</v>
      </c>
      <c r="M9" s="8">
        <f>VLOOKUP(A9,'[1]12_CEIR'!B:L,10,0)</f>
        <v>0</v>
      </c>
      <c r="N9" s="8">
        <f>VLOOKUP(A9,'[1]13_EPROSEC'!B:H,4,0)</f>
        <v>50</v>
      </c>
      <c r="O9" s="8">
        <f>VLOOKUP(A9,'[1]14_FIR_CS_COURT'!B:L,11,0)</f>
        <v>100</v>
      </c>
      <c r="P9" s="8">
        <f>VLOOKUP(A9,'[1]15_EOFFICE'!B:K,9,0)</f>
        <v>0</v>
      </c>
      <c r="Q9" s="8">
        <f>VLOOKUP(A9,'[1]16_APOLIS'!B:K,10,0)</f>
        <v>83.333333333333343</v>
      </c>
      <c r="R9" s="8">
        <f>VLOOKUP(A9,'[1]17_DRONE_FLYING'!B:J,9,0)</f>
        <v>0</v>
      </c>
      <c r="S9" s="8">
        <f>VLOOKUP(A9,'[1]18_112_TABS'!B:H,6,0)</f>
        <v>100</v>
      </c>
      <c r="T9" s="8">
        <f>VLOOKUP(A9,'[1]19_DIAL100_RES'!B:H,6,0)</f>
        <v>50</v>
      </c>
      <c r="U9" s="8">
        <f>VLOOKUP(A9,'[1]20_CCTV_360'!B:S,17,0)</f>
        <v>7.1428571428571423</v>
      </c>
      <c r="V9" s="8">
        <f>VLOOKUP(A9,'[1]21_NEWS360AI'!B:D,2,0)</f>
        <v>0</v>
      </c>
      <c r="W9" s="8">
        <f>VLOOKUP(A9,'[1]22_eFSL'!B:F,4,0)</f>
        <v>100</v>
      </c>
      <c r="X9" s="8">
        <f>VLOOKUP(A9,'[1]23_UC3'!B:D,2,0)</f>
        <v>0</v>
      </c>
      <c r="Y9" s="8">
        <f>VLOOKUP(A9,'[1]23_UC4'!B:D,3,0)</f>
        <v>0</v>
      </c>
    </row>
    <row r="10" spans="1:25" s="9" customFormat="1" ht="26.1" customHeight="1" x14ac:dyDescent="0.25">
      <c r="A10" s="7" t="s">
        <v>33</v>
      </c>
      <c r="B10" s="8" t="str">
        <f>VLOOKUP(A10,'[1]1_MEDLEAPR_PME'!B:H,6,0)</f>
        <v>100.00</v>
      </c>
      <c r="C10" s="8">
        <f>VLOOKUP(A10,'[1]2_MEDLEAPR_MLC'!B:I,6,0)</f>
        <v>100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93.88</v>
      </c>
      <c r="G10" s="8">
        <f>VLOOKUP(A10,'[1]6_CCTNS_1_7'!B:P,13,0)</f>
        <v>74.39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71.712538226299699</v>
      </c>
      <c r="L10" s="8">
        <f>VLOOKUP(A10,'[1]11_e DAR'!B:F,4,0)</f>
        <v>100</v>
      </c>
      <c r="M10" s="8">
        <f>VLOOKUP(A10,'[1]12_CEIR'!B:L,10,0)</f>
        <v>0</v>
      </c>
      <c r="N10" s="8">
        <f>VLOOKUP(A10,'[1]13_EPROSEC'!B:H,4,0)</f>
        <v>66.666666666666671</v>
      </c>
      <c r="O10" s="8">
        <f>VLOOKUP(A10,'[1]14_FIR_CS_COURT'!B:L,11,0)</f>
        <v>96.928104575163388</v>
      </c>
      <c r="P10" s="8">
        <f>VLOOKUP(A10,'[1]15_EOFFICE'!B:K,9,0)</f>
        <v>0</v>
      </c>
      <c r="Q10" s="8">
        <f>VLOOKUP(A10,'[1]16_APOLIS'!B:K,10,0)</f>
        <v>82.5</v>
      </c>
      <c r="R10" s="8">
        <f>VLOOKUP(A10,'[1]17_DRONE_FLYING'!B:J,9,0)</f>
        <v>0</v>
      </c>
      <c r="S10" s="8">
        <f>VLOOKUP(A10,'[1]18_112_TABS'!B:H,6,0)</f>
        <v>100</v>
      </c>
      <c r="T10" s="8">
        <f>VLOOKUP(A10,'[1]19_DIAL100_RES'!B:H,6,0)</f>
        <v>50</v>
      </c>
      <c r="U10" s="8">
        <f>VLOOKUP(A10,'[1]20_CCTV_360'!B:S,17,0)</f>
        <v>71.428571428571431</v>
      </c>
      <c r="V10" s="8">
        <f>VLOOKUP(A10,'[1]21_NEWS360AI'!B:D,2,0)</f>
        <v>0</v>
      </c>
      <c r="W10" s="8">
        <f>VLOOKUP(A10,'[1]22_eFSL'!B:F,4,0)</f>
        <v>100</v>
      </c>
      <c r="X10" s="8">
        <f>VLOOKUP(A10,'[1]23_UC3'!B:D,2,0)</f>
        <v>0</v>
      </c>
      <c r="Y10" s="8">
        <f>VLOOKUP(A10,'[1]23_UC4'!B:D,3,0)</f>
        <v>0</v>
      </c>
    </row>
    <row r="11" spans="1:25" s="9" customFormat="1" ht="26.1" customHeight="1" x14ac:dyDescent="0.25">
      <c r="A11" s="7" t="s">
        <v>34</v>
      </c>
      <c r="B11" s="8" t="str">
        <f>VLOOKUP(A11,'[1]1_MEDLEAPR_PME'!B:H,6,0)</f>
        <v>100.00</v>
      </c>
      <c r="C11" s="8" t="str">
        <f>VLOOKUP(A11,'[1]2_MEDLEAPR_MLC'!B:I,6,0)</f>
        <v>100.00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87.76</v>
      </c>
      <c r="G11" s="8">
        <f>VLOOKUP(A11,'[1]6_CCTNS_1_7'!B:P,13,0)</f>
        <v>50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85.31073446327683</v>
      </c>
      <c r="L11" s="8">
        <f>VLOOKUP(A11,'[1]11_e DAR'!B:F,4,0)</f>
        <v>100</v>
      </c>
      <c r="M11" s="8">
        <f>VLOOKUP(A11,'[1]12_CEIR'!B:L,10,0)</f>
        <v>0</v>
      </c>
      <c r="N11" s="8">
        <f>VLOOKUP(A11,'[1]13_EPROSEC'!B:H,4,0)</f>
        <v>100</v>
      </c>
      <c r="O11" s="8">
        <f>VLOOKUP(A11,'[1]14_FIR_CS_COURT'!B:L,11,0)</f>
        <v>100</v>
      </c>
      <c r="P11" s="8">
        <f>VLOOKUP(A11,'[1]15_EOFFICE'!B:K,9,0)</f>
        <v>0</v>
      </c>
      <c r="Q11" s="8">
        <f>VLOOKUP(A11,'[1]16_APOLIS'!B:K,10,0)</f>
        <v>85</v>
      </c>
      <c r="R11" s="8">
        <f>VLOOKUP(A11,'[1]17_DRONE_FLYING'!B:J,9,0)</f>
        <v>0</v>
      </c>
      <c r="S11" s="8">
        <f>VLOOKUP(A11,'[1]18_112_TABS'!B:H,6,0)</f>
        <v>100</v>
      </c>
      <c r="T11" s="8">
        <f>VLOOKUP(A11,'[1]19_DIAL100_RES'!B:H,6,0)</f>
        <v>50</v>
      </c>
      <c r="U11" s="8">
        <f>VLOOKUP(A11,'[1]20_CCTV_360'!B:S,17,0)</f>
        <v>14.285714285714285</v>
      </c>
      <c r="V11" s="8">
        <f>VLOOKUP(A11,'[1]21_NEWS360AI'!B:D,2,0)</f>
        <v>0</v>
      </c>
      <c r="W11" s="8">
        <f>VLOOKUP(A11,'[1]22_eFSL'!B:F,4,0)</f>
        <v>100</v>
      </c>
      <c r="X11" s="8">
        <f>VLOOKUP(A11,'[1]23_UC3'!B:D,2,0)</f>
        <v>0</v>
      </c>
      <c r="Y11" s="8">
        <f>VLOOKUP(A11,'[1]23_UC4'!B:D,3,0)</f>
        <v>0</v>
      </c>
    </row>
    <row r="12" spans="1:25" s="9" customFormat="1" ht="26.1" customHeight="1" x14ac:dyDescent="0.25">
      <c r="A12" s="7" t="s">
        <v>35</v>
      </c>
      <c r="B12" s="8">
        <f>VLOOKUP(A12,'[1]1_MEDLEAPR_PME'!B:H,6,0)</f>
        <v>100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100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61.302681992337163</v>
      </c>
      <c r="L12" s="8">
        <f>VLOOKUP(A12,'[1]11_e DAR'!B:F,4,0)</f>
        <v>100</v>
      </c>
      <c r="M12" s="8">
        <f>VLOOKUP(A12,'[1]12_CEIR'!B:L,10,0)</f>
        <v>0</v>
      </c>
      <c r="N12" s="8">
        <f>VLOOKUP(A12,'[1]13_EPROSEC'!B:H,4,0)</f>
        <v>100</v>
      </c>
      <c r="O12" s="8">
        <f>VLOOKUP(A12,'[1]14_FIR_CS_COURT'!B:L,11,0)</f>
        <v>100</v>
      </c>
      <c r="P12" s="8">
        <f>VLOOKUP(A12,'[1]15_EOFFICE'!B:K,9,0)</f>
        <v>0</v>
      </c>
      <c r="Q12" s="8">
        <f>VLOOKUP(A12,'[1]16_APOLIS'!B:K,10,0)</f>
        <v>85</v>
      </c>
      <c r="R12" s="8">
        <f>VLOOKUP(A12,'[1]17_DRONE_FLYING'!B:J,9,0)</f>
        <v>0</v>
      </c>
      <c r="S12" s="8">
        <f>VLOOKUP(A12,'[1]18_112_TABS'!B:H,6,0)</f>
        <v>100</v>
      </c>
      <c r="T12" s="8">
        <f>VLOOKUP(A12,'[1]19_DIAL100_RES'!B:H,6,0)</f>
        <v>50</v>
      </c>
      <c r="U12" s="8">
        <f>VLOOKUP(A12,'[1]20_CCTV_360'!B:S,17,0)</f>
        <v>78.571428571428569</v>
      </c>
      <c r="V12" s="8">
        <f>VLOOKUP(A12,'[1]21_NEWS360AI'!B:D,2,0)</f>
        <v>0</v>
      </c>
      <c r="W12" s="8">
        <f>VLOOKUP(A12,'[1]22_eFSL'!B:F,4,0)</f>
        <v>0</v>
      </c>
      <c r="X12" s="8">
        <f>VLOOKUP(A12,'[1]23_UC3'!B:D,2,0)</f>
        <v>0</v>
      </c>
      <c r="Y12" s="8">
        <f>VLOOKUP(A12,'[1]23_UC4'!B:D,3,0)</f>
        <v>0</v>
      </c>
    </row>
    <row r="13" spans="1:25" s="9" customFormat="1" ht="26.1" customHeight="1" x14ac:dyDescent="0.25">
      <c r="A13" s="7" t="s">
        <v>36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88.83</v>
      </c>
      <c r="G13" s="8">
        <f>VLOOKUP(A13,'[1]6_CCTNS_1_7'!B:P,13,0)</f>
        <v>50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89.325842696629209</v>
      </c>
      <c r="L13" s="8">
        <f>VLOOKUP(A13,'[1]11_e DAR'!B:F,4,0)</f>
        <v>100</v>
      </c>
      <c r="M13" s="8">
        <f>VLOOKUP(A13,'[1]12_CEIR'!B:L,10,0)</f>
        <v>0</v>
      </c>
      <c r="N13" s="8">
        <f>VLOOKUP(A13,'[1]13_EPROSEC'!B:H,4,0)</f>
        <v>0</v>
      </c>
      <c r="O13" s="8">
        <f>VLOOKUP(A13,'[1]14_FIR_CS_COURT'!B:L,11,0)</f>
        <v>95.833333333333343</v>
      </c>
      <c r="P13" s="8">
        <f>VLOOKUP(A13,'[1]15_EOFFICE'!B:K,9,0)</f>
        <v>0</v>
      </c>
      <c r="Q13" s="8">
        <f>VLOOKUP(A13,'[1]16_APOLIS'!B:K,10,0)</f>
        <v>81.25</v>
      </c>
      <c r="R13" s="8">
        <f>VLOOKUP(A13,'[1]17_DRONE_FLYING'!B:J,9,0)</f>
        <v>0</v>
      </c>
      <c r="S13" s="8">
        <f>VLOOKUP(A13,'[1]18_112_TABS'!B:H,6,0)</f>
        <v>100</v>
      </c>
      <c r="T13" s="8">
        <f>VLOOKUP(A13,'[1]19_DIAL100_RES'!B:H,6,0)</f>
        <v>50</v>
      </c>
      <c r="U13" s="8">
        <f>VLOOKUP(A13,'[1]20_CCTV_360'!B:S,17,0)</f>
        <v>7.1428571428571423</v>
      </c>
      <c r="V13" s="8">
        <f>VLOOKUP(A13,'[1]21_NEWS360AI'!B:D,2,0)</f>
        <v>0</v>
      </c>
      <c r="W13" s="8">
        <f>VLOOKUP(A13,'[1]22_eFSL'!B:F,4,0)</f>
        <v>100</v>
      </c>
      <c r="X13" s="8">
        <f>VLOOKUP(A13,'[1]23_UC3'!B:D,2,0)</f>
        <v>0</v>
      </c>
      <c r="Y13" s="8">
        <f>VLOOKUP(A13,'[1]23_UC4'!B:D,3,0)</f>
        <v>0</v>
      </c>
    </row>
    <row r="14" spans="1:25" s="9" customFormat="1" ht="26.1" customHeight="1" x14ac:dyDescent="0.25">
      <c r="A14" s="7" t="s">
        <v>37</v>
      </c>
      <c r="B14" s="8">
        <f>VLOOKUP(A14,'[1]1_MEDLEAPR_PME'!B:H,6,0)</f>
        <v>100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100</v>
      </c>
      <c r="G14" s="8">
        <f>VLOOKUP(A14,'[1]6_CCTNS_1_7'!B:P,13,0)</f>
        <v>100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73.913043478260875</v>
      </c>
      <c r="L14" s="8">
        <f>VLOOKUP(A14,'[1]11_e DAR'!B:F,4,0)</f>
        <v>100</v>
      </c>
      <c r="M14" s="8">
        <f>VLOOKUP(A14,'[1]12_CEIR'!B:L,10,0)</f>
        <v>0</v>
      </c>
      <c r="N14" s="8">
        <f>VLOOKUP(A14,'[1]13_EPROSEC'!B:H,4,0)</f>
        <v>0</v>
      </c>
      <c r="O14" s="8">
        <f>VLOOKUP(A14,'[1]14_FIR_CS_COURT'!B:L,11,0)</f>
        <v>92.857142857142861</v>
      </c>
      <c r="P14" s="8">
        <f>VLOOKUP(A14,'[1]15_EOFFICE'!B:K,9,0)</f>
        <v>0</v>
      </c>
      <c r="Q14" s="8">
        <f>VLOOKUP(A14,'[1]16_APOLIS'!B:K,10,0)</f>
        <v>80</v>
      </c>
      <c r="R14" s="8">
        <f>VLOOKUP(A14,'[1]17_DRONE_FLYING'!B:J,9,0)</f>
        <v>0</v>
      </c>
      <c r="S14" s="8">
        <f>VLOOKUP(A14,'[1]18_112_TABS'!B:H,6,0)</f>
        <v>100</v>
      </c>
      <c r="T14" s="8">
        <f>VLOOKUP(A14,'[1]19_DIAL100_RES'!B:H,6,0)</f>
        <v>50</v>
      </c>
      <c r="U14" s="8">
        <f>VLOOKUP(A14,'[1]20_CCTV_360'!B:S,17,0)</f>
        <v>7.1428571428571423</v>
      </c>
      <c r="V14" s="8">
        <f>VLOOKUP(A14,'[1]21_NEWS360AI'!B:D,2,0)</f>
        <v>0</v>
      </c>
      <c r="W14" s="8">
        <f>VLOOKUP(A14,'[1]22_eFSL'!B:F,4,0)</f>
        <v>0</v>
      </c>
      <c r="X14" s="8">
        <f>VLOOKUP(A14,'[1]23_UC3'!B:D,2,0)</f>
        <v>0</v>
      </c>
      <c r="Y14" s="8">
        <f>VLOOKUP(A14,'[1]23_UC4'!B:D,3,0)</f>
        <v>0</v>
      </c>
    </row>
    <row r="15" spans="1:25" s="9" customFormat="1" ht="26.1" customHeight="1" x14ac:dyDescent="0.25">
      <c r="A15" s="7" t="s">
        <v>38</v>
      </c>
      <c r="B15" s="8" t="str">
        <f>VLOOKUP(A15,'[1]1_MEDLEAPR_PME'!B:H,6,0)</f>
        <v>100.00</v>
      </c>
      <c r="C15" s="8">
        <f>VLOOKUP(A15,'[1]2_MEDLEAPR_MLC'!B:I,6,0)</f>
        <v>100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99.5</v>
      </c>
      <c r="G15" s="8">
        <f>VLOOKUP(A15,'[1]6_CCTNS_1_7'!B:P,13,0)</f>
        <v>100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62.174578866768762</v>
      </c>
      <c r="L15" s="8">
        <f>VLOOKUP(A15,'[1]11_e DAR'!B:F,4,0)</f>
        <v>0</v>
      </c>
      <c r="M15" s="8">
        <f>VLOOKUP(A15,'[1]12_CEIR'!B:L,10,0)</f>
        <v>0</v>
      </c>
      <c r="N15" s="8">
        <f>VLOOKUP(A15,'[1]13_EPROSEC'!B:H,4,0)</f>
        <v>20</v>
      </c>
      <c r="O15" s="8">
        <f>VLOOKUP(A15,'[1]14_FIR_CS_COURT'!B:L,11,0)</f>
        <v>51.135295959912312</v>
      </c>
      <c r="P15" s="8">
        <f>VLOOKUP(A15,'[1]15_EOFFICE'!B:K,9,0)</f>
        <v>0</v>
      </c>
      <c r="Q15" s="8">
        <f>VLOOKUP(A15,'[1]16_APOLIS'!B:K,10,0)</f>
        <v>85</v>
      </c>
      <c r="R15" s="8">
        <f>VLOOKUP(A15,'[1]17_DRONE_FLYING'!B:J,9,0)</f>
        <v>0</v>
      </c>
      <c r="S15" s="8">
        <f>VLOOKUP(A15,'[1]18_112_TABS'!B:H,6,0)</f>
        <v>100</v>
      </c>
      <c r="T15" s="8">
        <f>VLOOKUP(A15,'[1]19_DIAL100_RES'!B:H,6,0)</f>
        <v>50</v>
      </c>
      <c r="U15" s="8">
        <f>VLOOKUP(A15,'[1]20_CCTV_360'!B:S,17,0)</f>
        <v>64.285714285714292</v>
      </c>
      <c r="V15" s="8">
        <f>VLOOKUP(A15,'[1]21_NEWS360AI'!B:D,2,0)</f>
        <v>0</v>
      </c>
      <c r="W15" s="8">
        <f>VLOOKUP(A15,'[1]22_eFSL'!B:F,4,0)</f>
        <v>100</v>
      </c>
      <c r="X15" s="8">
        <f>VLOOKUP(A15,'[1]23_UC3'!B:D,2,0)</f>
        <v>0</v>
      </c>
      <c r="Y15" s="8">
        <f>VLOOKUP(A15,'[1]23_UC4'!B:D,3,0)</f>
        <v>0</v>
      </c>
    </row>
    <row r="16" spans="1:25" s="9" customFormat="1" ht="26.1" customHeight="1" x14ac:dyDescent="0.25">
      <c r="A16" s="7" t="s">
        <v>39</v>
      </c>
      <c r="B16" s="8" t="str">
        <f>VLOOKUP(A16,'[1]1_MEDLEAPR_PME'!B:H,6,0)</f>
        <v>100.00</v>
      </c>
      <c r="C16" s="8" t="str">
        <f>VLOOKUP(A16,'[1]2_MEDLEAPR_MLC'!B:I,6,0)</f>
        <v>100.00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92.52</v>
      </c>
      <c r="G16" s="8">
        <f>VLOOKUP(A16,'[1]6_CCTNS_1_7'!B:P,13,0)</f>
        <v>50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100</v>
      </c>
      <c r="L16" s="8">
        <f>VLOOKUP(A16,'[1]11_e DAR'!B:F,4,0)</f>
        <v>100</v>
      </c>
      <c r="M16" s="8">
        <f>VLOOKUP(A16,'[1]12_CEIR'!B:L,10,0)</f>
        <v>0</v>
      </c>
      <c r="N16" s="8">
        <f>VLOOKUP(A16,'[1]13_EPROSEC'!B:H,4,0)</f>
        <v>50</v>
      </c>
      <c r="O16" s="8">
        <f>VLOOKUP(A16,'[1]14_FIR_CS_COURT'!B:L,11,0)</f>
        <v>100</v>
      </c>
      <c r="P16" s="8">
        <f>VLOOKUP(A16,'[1]15_EOFFICE'!B:K,9,0)</f>
        <v>0</v>
      </c>
      <c r="Q16" s="8">
        <f>VLOOKUP(A16,'[1]16_APOLIS'!B:K,10,0)</f>
        <v>85</v>
      </c>
      <c r="R16" s="8">
        <f>VLOOKUP(A16,'[1]17_DRONE_FLYING'!B:J,9,0)</f>
        <v>0</v>
      </c>
      <c r="S16" s="8">
        <f>VLOOKUP(A16,'[1]18_112_TABS'!B:H,6,0)</f>
        <v>100</v>
      </c>
      <c r="T16" s="8">
        <f>VLOOKUP(A16,'[1]19_DIAL100_RES'!B:H,6,0)</f>
        <v>50</v>
      </c>
      <c r="U16" s="8">
        <f>VLOOKUP(A16,'[1]20_CCTV_360'!B:S,17,0)</f>
        <v>100</v>
      </c>
      <c r="V16" s="8">
        <f>VLOOKUP(A16,'[1]21_NEWS360AI'!B:D,2,0)</f>
        <v>0</v>
      </c>
      <c r="W16" s="8">
        <f>VLOOKUP(A16,'[1]22_eFSL'!B:F,4,0)</f>
        <v>100</v>
      </c>
      <c r="X16" s="8">
        <f>VLOOKUP(A16,'[1]23_UC3'!B:D,2,0)</f>
        <v>0</v>
      </c>
      <c r="Y16" s="8">
        <f>VLOOKUP(A16,'[1]23_UC4'!B:D,3,0)</f>
        <v>0</v>
      </c>
    </row>
    <row r="17" spans="1:25" s="9" customFormat="1" ht="26.1" customHeight="1" x14ac:dyDescent="0.25">
      <c r="A17" s="7" t="s">
        <v>40</v>
      </c>
      <c r="B17" s="8" t="str">
        <f>VLOOKUP(A17,'[1]1_MEDLEAPR_PME'!B:H,6,0)</f>
        <v>100.00</v>
      </c>
      <c r="C17" s="8">
        <f>VLOOKUP(A17,'[1]2_MEDLEAPR_MLC'!B:I,6,0)</f>
        <v>100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96.81</v>
      </c>
      <c r="G17" s="8">
        <f>VLOOKUP(A17,'[1]6_CCTNS_1_7'!B:P,13,0)</f>
        <v>22.32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51.308900523560212</v>
      </c>
      <c r="L17" s="8">
        <f>VLOOKUP(A17,'[1]11_e DAR'!B:F,4,0)</f>
        <v>100</v>
      </c>
      <c r="M17" s="8">
        <f>VLOOKUP(A17,'[1]12_CEIR'!B:L,10,0)</f>
        <v>0</v>
      </c>
      <c r="N17" s="8">
        <f>VLOOKUP(A17,'[1]13_EPROSEC'!B:H,4,0)</f>
        <v>0</v>
      </c>
      <c r="O17" s="8">
        <f>VLOOKUP(A17,'[1]14_FIR_CS_COURT'!B:L,11,0)</f>
        <v>100</v>
      </c>
      <c r="P17" s="8">
        <f>VLOOKUP(A17,'[1]15_EOFFICE'!B:K,9,0)</f>
        <v>0</v>
      </c>
      <c r="Q17" s="8">
        <f>VLOOKUP(A17,'[1]16_APOLIS'!B:K,10,0)</f>
        <v>81.25</v>
      </c>
      <c r="R17" s="8">
        <f>VLOOKUP(A17,'[1]17_DRONE_FLYING'!B:J,9,0)</f>
        <v>0</v>
      </c>
      <c r="S17" s="8">
        <f>VLOOKUP(A17,'[1]18_112_TABS'!B:H,6,0)</f>
        <v>100</v>
      </c>
      <c r="T17" s="8">
        <f>VLOOKUP(A17,'[1]19_DIAL100_RES'!B:H,6,0)</f>
        <v>50</v>
      </c>
      <c r="U17" s="8">
        <f>VLOOKUP(A17,'[1]20_CCTV_360'!B:S,17,0)</f>
        <v>0</v>
      </c>
      <c r="V17" s="8">
        <f>VLOOKUP(A17,'[1]21_NEWS360AI'!B:D,2,0)</f>
        <v>0</v>
      </c>
      <c r="W17" s="8">
        <f>VLOOKUP(A17,'[1]22_eFSL'!B:F,4,0)</f>
        <v>100</v>
      </c>
      <c r="X17" s="8">
        <f>VLOOKUP(A17,'[1]23_UC3'!B:D,2,0)</f>
        <v>0</v>
      </c>
      <c r="Y17" s="8">
        <f>VLOOKUP(A17,'[1]23_UC4'!B:D,3,0)</f>
        <v>0</v>
      </c>
    </row>
    <row r="18" spans="1:25" s="9" customFormat="1" ht="26.1" customHeight="1" x14ac:dyDescent="0.25">
      <c r="A18" s="7" t="s">
        <v>41</v>
      </c>
      <c r="B18" s="8" t="str">
        <f>VLOOKUP(A18,'[1]1_MEDLEAPR_PME'!B:H,6,0)</f>
        <v>100.00</v>
      </c>
      <c r="C18" s="8" t="str">
        <f>VLOOKUP(A18,'[1]2_MEDLEAPR_MLC'!B:I,6,0)</f>
        <v>100.00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100</v>
      </c>
      <c r="G18" s="8">
        <f>VLOOKUP(A18,'[1]6_CCTNS_1_7'!B:P,13,0)</f>
        <v>100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34.042553191489361</v>
      </c>
      <c r="L18" s="8">
        <f>VLOOKUP(A18,'[1]11_e DAR'!B:F,4,0)</f>
        <v>100</v>
      </c>
      <c r="M18" s="8">
        <f>VLOOKUP(A18,'[1]12_CEIR'!B:L,10,0)</f>
        <v>0</v>
      </c>
      <c r="N18" s="8">
        <f>VLOOKUP(A18,'[1]13_EPROSEC'!B:H,4,0)</f>
        <v>100</v>
      </c>
      <c r="O18" s="8">
        <f>VLOOKUP(A18,'[1]14_FIR_CS_COURT'!B:L,11,0)</f>
        <v>56.756756756756758</v>
      </c>
      <c r="P18" s="8">
        <f>VLOOKUP(A18,'[1]15_EOFFICE'!B:K,9,0)</f>
        <v>0</v>
      </c>
      <c r="Q18" s="8">
        <f>VLOOKUP(A18,'[1]16_APOLIS'!B:K,10,0)</f>
        <v>83.333333333333343</v>
      </c>
      <c r="R18" s="8">
        <f>VLOOKUP(A18,'[1]17_DRONE_FLYING'!B:J,9,0)</f>
        <v>0</v>
      </c>
      <c r="S18" s="8">
        <f>VLOOKUP(A18,'[1]18_112_TABS'!B:H,6,0)</f>
        <v>100</v>
      </c>
      <c r="T18" s="8">
        <f>VLOOKUP(A18,'[1]19_DIAL100_RES'!B:H,6,0)</f>
        <v>50</v>
      </c>
      <c r="U18" s="8">
        <f>VLOOKUP(A18,'[1]20_CCTV_360'!B:S,17,0)</f>
        <v>0</v>
      </c>
      <c r="V18" s="8">
        <f>VLOOKUP(A18,'[1]21_NEWS360AI'!B:D,2,0)</f>
        <v>0</v>
      </c>
      <c r="W18" s="8">
        <f>VLOOKUP(A18,'[1]22_eFSL'!B:F,4,0)</f>
        <v>100</v>
      </c>
      <c r="X18" s="8">
        <f>VLOOKUP(A18,'[1]23_UC3'!B:D,2,0)</f>
        <v>0</v>
      </c>
      <c r="Y18" s="8">
        <f>VLOOKUP(A18,'[1]23_UC4'!B:D,3,0)</f>
        <v>0</v>
      </c>
    </row>
    <row r="19" spans="1:25" s="9" customFormat="1" ht="26.1" customHeight="1" x14ac:dyDescent="0.25">
      <c r="A19" s="7" t="s">
        <v>42</v>
      </c>
      <c r="B19" s="8">
        <f>VLOOKUP(A19,'[1]1_MEDLEAPR_PME'!B:H,6,0)</f>
        <v>100</v>
      </c>
      <c r="C19" s="8" t="str">
        <f>VLOOKUP(A19,'[1]2_MEDLEAPR_MLC'!B:I,6,0)</f>
        <v>100.00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99.98</v>
      </c>
      <c r="G19" s="8">
        <f>VLOOKUP(A19,'[1]6_CCTNS_1_7'!B:P,13,0)</f>
        <v>0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VLOOKUP(A19,'[1]10_ESAKSHYA'!B:L,6,0)</f>
        <v>77.545691906005217</v>
      </c>
      <c r="L19" s="8">
        <f>VLOOKUP(A19,'[1]11_e DAR'!B:F,4,0)</f>
        <v>100</v>
      </c>
      <c r="M19" s="8">
        <f>VLOOKUP(A19,'[1]12_CEIR'!B:L,10,0)</f>
        <v>0</v>
      </c>
      <c r="N19" s="8">
        <f>VLOOKUP(A19,'[1]13_EPROSEC'!B:H,4,0)</f>
        <v>100</v>
      </c>
      <c r="O19" s="8">
        <f>VLOOKUP(A19,'[1]14_FIR_CS_COURT'!B:L,11,0)</f>
        <v>97.413793103448285</v>
      </c>
      <c r="P19" s="8">
        <f>VLOOKUP(A19,'[1]15_EOFFICE'!B:K,9,0)</f>
        <v>0</v>
      </c>
      <c r="Q19" s="8">
        <f>VLOOKUP(A19,'[1]16_APOLIS'!B:K,10,0)</f>
        <v>83.333333333333343</v>
      </c>
      <c r="R19" s="8">
        <f>VLOOKUP(A19,'[1]17_DRONE_FLYING'!B:J,9,0)</f>
        <v>0</v>
      </c>
      <c r="S19" s="8">
        <f>VLOOKUP(A19,'[1]18_112_TABS'!B:H,6,0)</f>
        <v>100</v>
      </c>
      <c r="T19" s="8">
        <f>VLOOKUP(A19,'[1]19_DIAL100_RES'!B:H,6,0)</f>
        <v>50</v>
      </c>
      <c r="U19" s="8">
        <f>VLOOKUP(A19,'[1]20_CCTV_360'!B:S,17,0)</f>
        <v>0</v>
      </c>
      <c r="V19" s="8">
        <f>VLOOKUP(A19,'[1]21_NEWS360AI'!B:D,2,0)</f>
        <v>0</v>
      </c>
      <c r="W19" s="8">
        <f>VLOOKUP(A19,'[1]22_eFSL'!B:F,4,0)</f>
        <v>0</v>
      </c>
      <c r="X19" s="8">
        <f>VLOOKUP(A19,'[1]23_UC3'!B:D,2,0)</f>
        <v>0</v>
      </c>
      <c r="Y19" s="8">
        <f>VLOOKUP(A19,'[1]23_UC4'!B:D,3,0)</f>
        <v>0</v>
      </c>
    </row>
    <row r="20" spans="1:25" s="9" customFormat="1" ht="26.1" customHeight="1" x14ac:dyDescent="0.25">
      <c r="A20" s="7" t="s">
        <v>43</v>
      </c>
      <c r="B20" s="8" t="str">
        <f>VLOOKUP(A20,'[1]1_MEDLEAPR_PME'!B:H,6,0)</f>
        <v>100.00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97.93</v>
      </c>
      <c r="G20" s="8">
        <f>VLOOKUP(A20,'[1]6_CCTNS_1_7'!B:P,13,0)</f>
        <v>9.92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52.336448598130843</v>
      </c>
      <c r="L20" s="8">
        <f>VLOOKUP(A20,'[1]11_e DAR'!B:F,4,0)</f>
        <v>100</v>
      </c>
      <c r="M20" s="8">
        <f>VLOOKUP(A20,'[1]12_CEIR'!B:L,10,0)</f>
        <v>0</v>
      </c>
      <c r="N20" s="8">
        <f>VLOOKUP(A20,'[1]13_EPROSEC'!B:H,4,0)</f>
        <v>100</v>
      </c>
      <c r="O20" s="8">
        <f>VLOOKUP(A20,'[1]14_FIR_CS_COURT'!B:L,11,0)</f>
        <v>51.567749160134383</v>
      </c>
      <c r="P20" s="8">
        <f>VLOOKUP(A20,'[1]15_EOFFICE'!B:K,9,0)</f>
        <v>0</v>
      </c>
      <c r="Q20" s="8">
        <f>VLOOKUP(A20,'[1]16_APOLIS'!B:K,10,0)</f>
        <v>83.333333333333343</v>
      </c>
      <c r="R20" s="8">
        <f>VLOOKUP(A20,'[1]17_DRONE_FLYING'!B:J,9,0)</f>
        <v>0</v>
      </c>
      <c r="S20" s="8">
        <f>VLOOKUP(A20,'[1]18_112_TABS'!B:H,6,0)</f>
        <v>100</v>
      </c>
      <c r="T20" s="8">
        <f>VLOOKUP(A20,'[1]19_DIAL100_RES'!B:H,6,0)</f>
        <v>50</v>
      </c>
      <c r="U20" s="8">
        <f>VLOOKUP(A20,'[1]20_CCTV_360'!B:S,17,0)</f>
        <v>71.428571428571431</v>
      </c>
      <c r="V20" s="8">
        <f>VLOOKUP(A20,'[1]21_NEWS360AI'!B:D,2,0)</f>
        <v>0</v>
      </c>
      <c r="W20" s="8">
        <f>VLOOKUP(A20,'[1]22_eFSL'!B:F,4,0)</f>
        <v>100</v>
      </c>
      <c r="X20" s="8">
        <f>VLOOKUP(A20,'[1]23_UC3'!B:D,2,0)</f>
        <v>0</v>
      </c>
      <c r="Y20" s="8">
        <f>VLOOKUP(A20,'[1]23_UC4'!B:D,3,0)</f>
        <v>0</v>
      </c>
    </row>
    <row r="21" spans="1:25" s="9" customFormat="1" ht="26.1" customHeight="1" x14ac:dyDescent="0.25">
      <c r="A21" s="7" t="s">
        <v>44</v>
      </c>
      <c r="B21" s="8">
        <f>VLOOKUP(A21,'[1]1_MEDLEAPR_PME'!B:H,6,0)</f>
        <v>100</v>
      </c>
      <c r="C21" s="8">
        <f>VLOOKUP(A21,'[1]2_MEDLEAPR_MLC'!B:I,6,0)</f>
        <v>100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100</v>
      </c>
      <c r="G21" s="8">
        <f>VLOOKUP(A21,'[1]6_CCTNS_1_7'!B:P,13,0)</f>
        <v>89.27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94.555353901996369</v>
      </c>
      <c r="L21" s="8">
        <f>VLOOKUP(A21,'[1]11_e DAR'!B:F,4,0)</f>
        <v>100</v>
      </c>
      <c r="M21" s="8">
        <f>VLOOKUP(A21,'[1]12_CEIR'!B:L,10,0)</f>
        <v>0</v>
      </c>
      <c r="N21" s="8">
        <f>VLOOKUP(A21,'[1]13_EPROSEC'!B:H,4,0)</f>
        <v>33.333333333333336</v>
      </c>
      <c r="O21" s="8">
        <f>VLOOKUP(A21,'[1]14_FIR_CS_COURT'!B:L,11,0)</f>
        <v>98.607142857142861</v>
      </c>
      <c r="P21" s="8">
        <f>VLOOKUP(A21,'[1]15_EOFFICE'!B:K,9,0)</f>
        <v>0</v>
      </c>
      <c r="Q21" s="8">
        <f>VLOOKUP(A21,'[1]16_APOLIS'!B:K,10,0)</f>
        <v>85</v>
      </c>
      <c r="R21" s="8">
        <f>VLOOKUP(A21,'[1]17_DRONE_FLYING'!B:J,9,0)</f>
        <v>0</v>
      </c>
      <c r="S21" s="8">
        <f>VLOOKUP(A21,'[1]18_112_TABS'!B:H,6,0)</f>
        <v>100</v>
      </c>
      <c r="T21" s="8">
        <f>VLOOKUP(A21,'[1]19_DIAL100_RES'!B:H,6,0)</f>
        <v>50</v>
      </c>
      <c r="U21" s="8">
        <f>VLOOKUP(A21,'[1]20_CCTV_360'!B:S,17,0)</f>
        <v>0</v>
      </c>
      <c r="V21" s="8">
        <f>VLOOKUP(A21,'[1]21_NEWS360AI'!B:D,2,0)</f>
        <v>0</v>
      </c>
      <c r="W21" s="8">
        <f>VLOOKUP(A21,'[1]22_eFSL'!B:F,4,0)</f>
        <v>100</v>
      </c>
      <c r="X21" s="8">
        <f>VLOOKUP(A21,'[1]23_UC3'!B:D,2,0)</f>
        <v>0</v>
      </c>
      <c r="Y21" s="8">
        <f>VLOOKUP(A21,'[1]23_UC4'!B:D,3,0)</f>
        <v>0</v>
      </c>
    </row>
    <row r="22" spans="1:25" s="9" customFormat="1" ht="26.1" customHeight="1" x14ac:dyDescent="0.25">
      <c r="A22" s="7" t="s">
        <v>45</v>
      </c>
      <c r="B22" s="8" t="str">
        <f>VLOOKUP(A22,'[1]1_MEDLEAPR_PME'!B:H,6,0)</f>
        <v>100.00</v>
      </c>
      <c r="C22" s="8" t="str">
        <f>VLOOKUP(A22,'[1]2_MEDLEAPR_MLC'!B:I,6,0)</f>
        <v>100.00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100</v>
      </c>
      <c r="G22" s="8">
        <f>VLOOKUP(A22,'[1]6_CCTNS_1_7'!B:P,13,0)</f>
        <v>74.39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71.171171171171167</v>
      </c>
      <c r="L22" s="8">
        <f>VLOOKUP(A22,'[1]11_e DAR'!B:F,4,0)</f>
        <v>100</v>
      </c>
      <c r="M22" s="8">
        <f>VLOOKUP(A22,'[1]12_CEIR'!B:L,10,0)</f>
        <v>0</v>
      </c>
      <c r="N22" s="8">
        <f>VLOOKUP(A22,'[1]13_EPROSEC'!B:H,4,0)</f>
        <v>100</v>
      </c>
      <c r="O22" s="8">
        <f>VLOOKUP(A22,'[1]14_FIR_CS_COURT'!B:L,11,0)</f>
        <v>100</v>
      </c>
      <c r="P22" s="8">
        <f>VLOOKUP(A22,'[1]15_EOFFICE'!B:K,9,0)</f>
        <v>0</v>
      </c>
      <c r="Q22" s="8">
        <f>VLOOKUP(A22,'[1]16_APOLIS'!B:K,10,0)</f>
        <v>83.333333333333343</v>
      </c>
      <c r="R22" s="8">
        <f>VLOOKUP(A22,'[1]17_DRONE_FLYING'!B:J,9,0)</f>
        <v>0</v>
      </c>
      <c r="S22" s="8">
        <f>VLOOKUP(A22,'[1]18_112_TABS'!B:H,6,0)</f>
        <v>100</v>
      </c>
      <c r="T22" s="8">
        <f>VLOOKUP(A22,'[1]19_DIAL100_RES'!B:H,6,0)</f>
        <v>50</v>
      </c>
      <c r="U22" s="8">
        <f>VLOOKUP(A22,'[1]20_CCTV_360'!B:S,17,0)</f>
        <v>0</v>
      </c>
      <c r="V22" s="8">
        <f>VLOOKUP(A22,'[1]21_NEWS360AI'!B:D,2,0)</f>
        <v>0</v>
      </c>
      <c r="W22" s="8">
        <f>VLOOKUP(A22,'[1]22_eFSL'!B:F,4,0)</f>
        <v>100</v>
      </c>
      <c r="X22" s="8">
        <f>VLOOKUP(A22,'[1]23_UC3'!B:D,2,0)</f>
        <v>0</v>
      </c>
      <c r="Y22" s="8">
        <f>VLOOKUP(A22,'[1]23_UC4'!B:D,3,0)</f>
        <v>0</v>
      </c>
    </row>
    <row r="23" spans="1:25" s="9" customFormat="1" ht="26.1" customHeight="1" x14ac:dyDescent="0.25">
      <c r="A23" s="7" t="s">
        <v>46</v>
      </c>
      <c r="B23" s="8" t="str">
        <f>VLOOKUP(A23,'[1]1_MEDLEAPR_PME'!B:H,6,0)</f>
        <v>100.00</v>
      </c>
      <c r="C23" s="8" t="str">
        <f>VLOOKUP(A23,'[1]2_MEDLEAPR_MLC'!B:I,6,0)</f>
        <v>100.00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84.28</v>
      </c>
      <c r="G23" s="8">
        <f>VLOOKUP(A23,'[1]6_CCTNS_1_7'!B:P,13,0)</f>
        <v>50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VLOOKUP(A23,'[1]10_ESAKSHYA'!B:L,6,0)</f>
        <v>38.353413654618471</v>
      </c>
      <c r="L23" s="8">
        <f>VLOOKUP(A23,'[1]11_e DAR'!B:F,4,0)</f>
        <v>100</v>
      </c>
      <c r="M23" s="8">
        <f>VLOOKUP(A23,'[1]12_CEIR'!B:L,10,0)</f>
        <v>0</v>
      </c>
      <c r="N23" s="8">
        <f>VLOOKUP(A23,'[1]13_EPROSEC'!B:H,4,0)</f>
        <v>100</v>
      </c>
      <c r="O23" s="8">
        <f>VLOOKUP(A23,'[1]14_FIR_CS_COURT'!B:L,11,0)</f>
        <v>97.368421052631589</v>
      </c>
      <c r="P23" s="8">
        <f>VLOOKUP(A23,'[1]15_EOFFICE'!B:K,9,0)</f>
        <v>0</v>
      </c>
      <c r="Q23" s="8">
        <f>VLOOKUP(A23,'[1]16_APOLIS'!B:K,10,0)</f>
        <v>83.333333333333343</v>
      </c>
      <c r="R23" s="8">
        <f>VLOOKUP(A23,'[1]17_DRONE_FLYING'!B:J,9,0)</f>
        <v>0</v>
      </c>
      <c r="S23" s="8">
        <f>VLOOKUP(A23,'[1]18_112_TABS'!B:H,6,0)</f>
        <v>100</v>
      </c>
      <c r="T23" s="8">
        <f>VLOOKUP(A23,'[1]19_DIAL100_RES'!B:H,6,0)</f>
        <v>50</v>
      </c>
      <c r="U23" s="8">
        <f>VLOOKUP(A23,'[1]20_CCTV_360'!B:S,17,0)</f>
        <v>85.714285714285708</v>
      </c>
      <c r="V23" s="8">
        <f>VLOOKUP(A23,'[1]21_NEWS360AI'!B:D,2,0)</f>
        <v>0</v>
      </c>
      <c r="W23" s="8">
        <f>VLOOKUP(A23,'[1]22_eFSL'!B:F,4,0)</f>
        <v>100</v>
      </c>
      <c r="X23" s="8">
        <f>VLOOKUP(A23,'[1]23_UC3'!B:D,2,0)</f>
        <v>0</v>
      </c>
      <c r="Y23" s="8">
        <f>VLOOKUP(A23,'[1]23_UC4'!B:D,3,0)</f>
        <v>0</v>
      </c>
    </row>
    <row r="24" spans="1:25" s="9" customFormat="1" ht="26.1" customHeight="1" x14ac:dyDescent="0.25">
      <c r="A24" s="7" t="s">
        <v>47</v>
      </c>
      <c r="B24" s="8" t="str">
        <f>VLOOKUP(A24,'[1]1_MEDLEAPR_PME'!B:H,6,0)</f>
        <v>100.00</v>
      </c>
      <c r="C24" s="8">
        <f>VLOOKUP(A24,'[1]2_MEDLEAPR_MLC'!B:I,6,0)</f>
        <v>100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83.64</v>
      </c>
      <c r="G24" s="8">
        <f>VLOOKUP(A24,'[1]6_CCTNS_1_7'!B:P,13,0)</f>
        <v>74.39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43.87096774193548</v>
      </c>
      <c r="L24" s="8">
        <f>VLOOKUP(A24,'[1]11_e DAR'!B:F,4,0)</f>
        <v>100</v>
      </c>
      <c r="M24" s="8">
        <f>VLOOKUP(A24,'[1]12_CEIR'!B:L,10,0)</f>
        <v>0</v>
      </c>
      <c r="N24" s="8">
        <f>VLOOKUP(A24,'[1]13_EPROSEC'!B:H,4,0)</f>
        <v>14.285714285714286</v>
      </c>
      <c r="O24" s="8">
        <f>VLOOKUP(A24,'[1]14_FIR_CS_COURT'!B:L,11,0)</f>
        <v>100</v>
      </c>
      <c r="P24" s="8">
        <f>VLOOKUP(A24,'[1]15_EOFFICE'!B:K,9,0)</f>
        <v>0</v>
      </c>
      <c r="Q24" s="8">
        <f>VLOOKUP(A24,'[1]16_APOLIS'!B:K,10,0)</f>
        <v>83.333333333333343</v>
      </c>
      <c r="R24" s="8">
        <f>VLOOKUP(A24,'[1]17_DRONE_FLYING'!B:J,9,0)</f>
        <v>0</v>
      </c>
      <c r="S24" s="8">
        <f>VLOOKUP(A24,'[1]18_112_TABS'!B:H,6,0)</f>
        <v>100</v>
      </c>
      <c r="T24" s="8">
        <f>VLOOKUP(A24,'[1]19_DIAL100_RES'!B:H,6,0)</f>
        <v>50</v>
      </c>
      <c r="U24" s="8">
        <f>VLOOKUP(A24,'[1]20_CCTV_360'!B:S,17,0)</f>
        <v>64.285714285714292</v>
      </c>
      <c r="V24" s="8">
        <f>VLOOKUP(A24,'[1]21_NEWS360AI'!B:D,2,0)</f>
        <v>0</v>
      </c>
      <c r="W24" s="8">
        <f>VLOOKUP(A24,'[1]22_eFSL'!B:F,4,0)</f>
        <v>100</v>
      </c>
      <c r="X24" s="8">
        <f>VLOOKUP(A24,'[1]23_UC3'!B:D,2,0)</f>
        <v>0</v>
      </c>
      <c r="Y24" s="8">
        <f>VLOOKUP(A24,'[1]23_UC4'!B:D,3,0)</f>
        <v>0</v>
      </c>
    </row>
    <row r="25" spans="1:25" s="9" customFormat="1" ht="26.1" customHeight="1" x14ac:dyDescent="0.25">
      <c r="A25" s="7" t="s">
        <v>48</v>
      </c>
      <c r="B25" s="8">
        <f>VLOOKUP(A25,'[1]1_MEDLEAPR_PME'!B:H,6,0)</f>
        <v>100</v>
      </c>
      <c r="C25" s="8">
        <f>VLOOKUP(A25,'[1]2_MEDLEAPR_MLC'!B:I,6,0)</f>
        <v>100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100</v>
      </c>
      <c r="G25" s="8">
        <f>VLOOKUP(A25,'[1]6_CCTNS_1_7'!B:P,13,0)</f>
        <v>100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38.047559449311642</v>
      </c>
      <c r="L25" s="8">
        <f>VLOOKUP(A25,'[1]11_e DAR'!B:F,4,0)</f>
        <v>100</v>
      </c>
      <c r="M25" s="8">
        <f>VLOOKUP(A25,'[1]12_CEIR'!B:L,10,0)</f>
        <v>0</v>
      </c>
      <c r="N25" s="8">
        <f>VLOOKUP(A25,'[1]13_EPROSEC'!B:H,4,0)</f>
        <v>14.285714285714286</v>
      </c>
      <c r="O25" s="8">
        <f>VLOOKUP(A25,'[1]14_FIR_CS_COURT'!B:L,11,0)</f>
        <v>47.234104046242777</v>
      </c>
      <c r="P25" s="8">
        <f>VLOOKUP(A25,'[1]15_EOFFICE'!B:K,9,0)</f>
        <v>0</v>
      </c>
      <c r="Q25" s="8">
        <f>VLOOKUP(A25,'[1]16_APOLIS'!B:K,10,0)</f>
        <v>93.243243243243242</v>
      </c>
      <c r="R25" s="8">
        <f>VLOOKUP(A25,'[1]17_DRONE_FLYING'!B:J,9,0)</f>
        <v>0</v>
      </c>
      <c r="S25" s="8">
        <f>VLOOKUP(A25,'[1]18_112_TABS'!B:H,6,0)</f>
        <v>100</v>
      </c>
      <c r="T25" s="8">
        <f>VLOOKUP(A25,'[1]19_DIAL100_RES'!B:H,6,0)</f>
        <v>50</v>
      </c>
      <c r="U25" s="8">
        <f>VLOOKUP(A25,'[1]20_CCTV_360'!B:S,17,0)</f>
        <v>64.285714285714292</v>
      </c>
      <c r="V25" s="8">
        <f>VLOOKUP(A25,'[1]21_NEWS360AI'!B:D,2,0)</f>
        <v>0</v>
      </c>
      <c r="W25" s="8">
        <f>VLOOKUP(A25,'[1]22_eFSL'!B:F,4,0)</f>
        <v>100</v>
      </c>
      <c r="X25" s="8">
        <f>VLOOKUP(A25,'[1]23_UC3'!B:D,2,0)</f>
        <v>0</v>
      </c>
      <c r="Y25" s="8">
        <f>VLOOKUP(A25,'[1]23_UC4'!B:D,3,0)</f>
        <v>0</v>
      </c>
    </row>
    <row r="26" spans="1:25" s="9" customFormat="1" ht="26.1" customHeight="1" x14ac:dyDescent="0.25">
      <c r="A26" s="7" t="s">
        <v>49</v>
      </c>
      <c r="B26" s="8">
        <f>VLOOKUP(A26,'[1]1_MEDLEAPR_PME'!B:H,6,0)</f>
        <v>100</v>
      </c>
      <c r="C26" s="8" t="str">
        <f>VLOOKUP(A26,'[1]2_MEDLEAPR_MLC'!B:I,6,0)</f>
        <v>100.00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100</v>
      </c>
      <c r="G26" s="8">
        <f>VLOOKUP(A26,'[1]6_CCTNS_1_7'!B:P,13,0)</f>
        <v>100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80.131578947368425</v>
      </c>
      <c r="L26" s="8">
        <f>VLOOKUP(A26,'[1]11_e DAR'!B:F,4,0)</f>
        <v>100</v>
      </c>
      <c r="M26" s="8">
        <f>VLOOKUP(A26,'[1]12_CEIR'!B:L,10,0)</f>
        <v>0</v>
      </c>
      <c r="N26" s="8">
        <f>VLOOKUP(A26,'[1]13_EPROSEC'!B:H,4,0)</f>
        <v>100</v>
      </c>
      <c r="O26" s="8">
        <f>VLOOKUP(A26,'[1]14_FIR_CS_COURT'!B:L,11,0)</f>
        <v>96.794871794871796</v>
      </c>
      <c r="P26" s="8">
        <f>VLOOKUP(A26,'[1]15_EOFFICE'!B:K,9,0)</f>
        <v>0</v>
      </c>
      <c r="Q26" s="8">
        <f>VLOOKUP(A26,'[1]16_APOLIS'!B:K,10,0)</f>
        <v>85.294117647058826</v>
      </c>
      <c r="R26" s="8">
        <f>VLOOKUP(A26,'[1]17_DRONE_FLYING'!B:J,9,0)</f>
        <v>0</v>
      </c>
      <c r="S26" s="8">
        <f>VLOOKUP(A26,'[1]18_112_TABS'!B:H,6,0)</f>
        <v>100</v>
      </c>
      <c r="T26" s="8">
        <f>VLOOKUP(A26,'[1]19_DIAL100_RES'!B:H,6,0)</f>
        <v>50</v>
      </c>
      <c r="U26" s="8">
        <f>VLOOKUP(A26,'[1]20_CCTV_360'!B:S,17,0)</f>
        <v>85.714285714285708</v>
      </c>
      <c r="V26" s="8">
        <f>VLOOKUP(A26,'[1]21_NEWS360AI'!B:D,2,0)</f>
        <v>0</v>
      </c>
      <c r="W26" s="8">
        <f>VLOOKUP(A26,'[1]22_eFSL'!B:F,4,0)</f>
        <v>0</v>
      </c>
      <c r="X26" s="8">
        <f>VLOOKUP(A26,'[1]23_UC3'!B:D,2,0)</f>
        <v>0</v>
      </c>
      <c r="Y26" s="8">
        <f>VLOOKUP(A26,'[1]23_UC4'!B:D,3,0)</f>
        <v>0</v>
      </c>
    </row>
    <row r="27" spans="1:25" s="9" customFormat="1" ht="26.1" customHeight="1" x14ac:dyDescent="0.25">
      <c r="A27" s="7" t="s">
        <v>50</v>
      </c>
      <c r="B27" s="8" t="str">
        <f>VLOOKUP(A27,'[1]1_MEDLEAPR_PME'!B:H,6,0)</f>
        <v>100.00</v>
      </c>
      <c r="C27" s="8" t="str">
        <f>VLOOKUP(A27,'[1]2_MEDLEAPR_MLC'!B:I,6,0)</f>
        <v>100.00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64.47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VLOOKUP(A27,'[1]10_ESAKSHYA'!B:L,6,0)</f>
        <v>55.860349127182047</v>
      </c>
      <c r="L27" s="8">
        <f>VLOOKUP(A27,'[1]11_e DAR'!B:F,4,0)</f>
        <v>100</v>
      </c>
      <c r="M27" s="8">
        <f>VLOOKUP(A27,'[1]12_CEIR'!B:L,10,0)</f>
        <v>0</v>
      </c>
      <c r="N27" s="8">
        <f>VLOOKUP(A27,'[1]13_EPROSEC'!B:H,4,0)</f>
        <v>25</v>
      </c>
      <c r="O27" s="8">
        <f>VLOOKUP(A27,'[1]14_FIR_CS_COURT'!B:L,11,0)</f>
        <v>98.245614035087726</v>
      </c>
      <c r="P27" s="8">
        <f>VLOOKUP(A27,'[1]15_EOFFICE'!B:K,9,0)</f>
        <v>0</v>
      </c>
      <c r="Q27" s="8">
        <f>VLOOKUP(A27,'[1]16_APOLIS'!B:K,10,0)</f>
        <v>82.142857142857139</v>
      </c>
      <c r="R27" s="8">
        <f>VLOOKUP(A27,'[1]17_DRONE_FLYING'!B:J,9,0)</f>
        <v>0</v>
      </c>
      <c r="S27" s="8">
        <f>VLOOKUP(A27,'[1]18_112_TABS'!B:H,6,0)</f>
        <v>100</v>
      </c>
      <c r="T27" s="8">
        <f>VLOOKUP(A27,'[1]19_DIAL100_RES'!B:H,6,0)</f>
        <v>50</v>
      </c>
      <c r="U27" s="8">
        <f>VLOOKUP(A27,'[1]20_CCTV_360'!B:S,17,0)</f>
        <v>14.285714285714285</v>
      </c>
      <c r="V27" s="8">
        <f>VLOOKUP(A27,'[1]21_NEWS360AI'!B:D,2,0)</f>
        <v>0</v>
      </c>
      <c r="W27" s="8">
        <f>VLOOKUP(A27,'[1]22_eFSL'!B:F,4,0)</f>
        <v>0</v>
      </c>
      <c r="X27" s="8">
        <f>VLOOKUP(A27,'[1]23_UC3'!B:D,2,0)</f>
        <v>0</v>
      </c>
      <c r="Y27" s="8">
        <f>VLOOKUP(A27,'[1]23_UC4'!B:D,3,0)</f>
        <v>0</v>
      </c>
    </row>
    <row r="28" spans="1:25" s="9" customFormat="1" ht="26.1" customHeight="1" x14ac:dyDescent="0.25">
      <c r="A28" s="7" t="s">
        <v>51</v>
      </c>
      <c r="B28" s="8" t="str">
        <f>VLOOKUP(A28,'[1]1_MEDLEAPR_PME'!B:H,6,0)</f>
        <v>100.00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98.88</v>
      </c>
      <c r="G28" s="8">
        <f>VLOOKUP(A28,'[1]6_CCTNS_1_7'!B:P,13,0)</f>
        <v>74.39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93.11926605504587</v>
      </c>
      <c r="L28" s="8">
        <f>VLOOKUP(A28,'[1]11_e DAR'!B:F,4,0)</f>
        <v>100</v>
      </c>
      <c r="M28" s="8">
        <f>VLOOKUP(A28,'[1]12_CEIR'!B:L,10,0)</f>
        <v>0</v>
      </c>
      <c r="N28" s="8">
        <f>VLOOKUP(A28,'[1]13_EPROSEC'!B:H,4,0)</f>
        <v>0</v>
      </c>
      <c r="O28" s="8">
        <f>VLOOKUP(A28,'[1]14_FIR_CS_COURT'!B:L,11,0)</f>
        <v>100</v>
      </c>
      <c r="P28" s="8">
        <f>VLOOKUP(A28,'[1]15_EOFFICE'!B:K,9,0)</f>
        <v>0</v>
      </c>
      <c r="Q28" s="8">
        <f>VLOOKUP(A28,'[1]16_APOLIS'!B:K,10,0)</f>
        <v>83.333333333333343</v>
      </c>
      <c r="R28" s="8">
        <f>VLOOKUP(A28,'[1]17_DRONE_FLYING'!B:J,9,0)</f>
        <v>0</v>
      </c>
      <c r="S28" s="8">
        <f>VLOOKUP(A28,'[1]18_112_TABS'!B:H,6,0)</f>
        <v>100</v>
      </c>
      <c r="T28" s="8">
        <f>VLOOKUP(A28,'[1]19_DIAL100_RES'!B:H,6,0)</f>
        <v>50</v>
      </c>
      <c r="U28" s="8">
        <f>VLOOKUP(A28,'[1]20_CCTV_360'!B:S,17,0)</f>
        <v>0</v>
      </c>
      <c r="V28" s="8">
        <f>VLOOKUP(A28,'[1]21_NEWS360AI'!B:D,2,0)</f>
        <v>0</v>
      </c>
      <c r="W28" s="8">
        <f>VLOOKUP(A28,'[1]22_eFSL'!B:F,4,0)</f>
        <v>100</v>
      </c>
      <c r="X28" s="8">
        <f>VLOOKUP(A28,'[1]23_UC3'!B:D,2,0)</f>
        <v>0</v>
      </c>
      <c r="Y28" s="8">
        <f>VLOOKUP(A28,'[1]23_UC4'!B:D,3,0)</f>
        <v>0</v>
      </c>
    </row>
    <row r="29" spans="1:25" s="9" customFormat="1" ht="26.1" customHeight="1" x14ac:dyDescent="0.25">
      <c r="A29" s="7" t="s">
        <v>52</v>
      </c>
      <c r="B29" s="8" t="str">
        <f>VLOOKUP(A29,'[1]1_MEDLEAPR_PME'!B:H,6,0)</f>
        <v>100.00</v>
      </c>
      <c r="C29" s="8" t="str">
        <f>VLOOKUP(A29,'[1]2_MEDLEAPR_MLC'!B:I,6,0)</f>
        <v>100.00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91.26</v>
      </c>
      <c r="G29" s="8">
        <f>VLOOKUP(A29,'[1]6_CCTNS_1_7'!B:P,13,0)</f>
        <v>100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43.96551724137931</v>
      </c>
      <c r="L29" s="8">
        <f>VLOOKUP(A29,'[1]11_e DAR'!B:F,4,0)</f>
        <v>100</v>
      </c>
      <c r="M29" s="8">
        <f>VLOOKUP(A29,'[1]12_CEIR'!B:L,10,0)</f>
        <v>0</v>
      </c>
      <c r="N29" s="8">
        <f>VLOOKUP(A29,'[1]13_EPROSEC'!B:H,4,0)</f>
        <v>25</v>
      </c>
      <c r="O29" s="8">
        <f>VLOOKUP(A29,'[1]14_FIR_CS_COURT'!B:L,11,0)</f>
        <v>100</v>
      </c>
      <c r="P29" s="8">
        <f>VLOOKUP(A29,'[1]15_EOFFICE'!B:K,9,0)</f>
        <v>0</v>
      </c>
      <c r="Q29" s="8">
        <f>VLOOKUP(A29,'[1]16_APOLIS'!B:K,10,0)</f>
        <v>83.333333333333343</v>
      </c>
      <c r="R29" s="8">
        <f>VLOOKUP(A29,'[1]17_DRONE_FLYING'!B:J,9,0)</f>
        <v>0</v>
      </c>
      <c r="S29" s="8">
        <f>VLOOKUP(A29,'[1]18_112_TABS'!B:H,6,0)</f>
        <v>100</v>
      </c>
      <c r="T29" s="8">
        <f>VLOOKUP(A29,'[1]19_DIAL100_RES'!B:H,6,0)</f>
        <v>50</v>
      </c>
      <c r="U29" s="8">
        <f>VLOOKUP(A29,'[1]20_CCTV_360'!B:S,17,0)</f>
        <v>0</v>
      </c>
      <c r="V29" s="8">
        <f>VLOOKUP(A29,'[1]21_NEWS360AI'!B:D,2,0)</f>
        <v>0</v>
      </c>
      <c r="W29" s="8">
        <f>VLOOKUP(A29,'[1]22_eFSL'!B:F,4,0)</f>
        <v>100</v>
      </c>
      <c r="X29" s="8">
        <f>VLOOKUP(A29,'[1]23_UC3'!B:D,2,0)</f>
        <v>0</v>
      </c>
      <c r="Y29" s="8">
        <f>VLOOKUP(A29,'[1]23_UC4'!B:D,3,0)</f>
        <v>0</v>
      </c>
    </row>
    <row r="30" spans="1:25" s="9" customFormat="1" ht="26.1" customHeight="1" x14ac:dyDescent="0.25">
      <c r="A30" s="7" t="s">
        <v>53</v>
      </c>
      <c r="B30" s="8" t="str">
        <f>VLOOKUP(A30,'[1]1_MEDLEAPR_PME'!B:H,6,0)</f>
        <v>100.00</v>
      </c>
      <c r="C30" s="8" t="str">
        <f>VLOOKUP(A30,'[1]2_MEDLEAPR_MLC'!B:I,6,0)</f>
        <v>100.00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77.150000000000006</v>
      </c>
      <c r="G30" s="8">
        <f>VLOOKUP(A30,'[1]6_CCTNS_1_7'!B:P,13,0)</f>
        <v>79.349999999999994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72.376873661670231</v>
      </c>
      <c r="L30" s="8">
        <f>VLOOKUP(A30,'[1]11_e DAR'!B:F,4,0)</f>
        <v>100</v>
      </c>
      <c r="M30" s="8">
        <f>VLOOKUP(A30,'[1]12_CEIR'!B:L,10,0)</f>
        <v>0</v>
      </c>
      <c r="N30" s="8">
        <f>VLOOKUP(A30,'[1]13_EPROSEC'!B:H,4,0)</f>
        <v>25</v>
      </c>
      <c r="O30" s="8">
        <f>VLOOKUP(A30,'[1]14_FIR_CS_COURT'!B:L,11,0)</f>
        <v>98.75</v>
      </c>
      <c r="P30" s="8">
        <f>VLOOKUP(A30,'[1]15_EOFFICE'!B:K,9,0)</f>
        <v>0</v>
      </c>
      <c r="Q30" s="8">
        <f>VLOOKUP(A30,'[1]16_APOLIS'!B:K,10,0)</f>
        <v>83.333333333333343</v>
      </c>
      <c r="R30" s="8">
        <f>VLOOKUP(A30,'[1]17_DRONE_FLYING'!B:J,9,0)</f>
        <v>0</v>
      </c>
      <c r="S30" s="8">
        <f>VLOOKUP(A30,'[1]18_112_TABS'!B:H,6,0)</f>
        <v>100</v>
      </c>
      <c r="T30" s="8">
        <f>VLOOKUP(A30,'[1]19_DIAL100_RES'!B:H,6,0)</f>
        <v>50</v>
      </c>
      <c r="U30" s="8">
        <f>VLOOKUP(A30,'[1]20_CCTV_360'!B:S,17,0)</f>
        <v>50</v>
      </c>
      <c r="V30" s="8">
        <f>VLOOKUP(A30,'[1]21_NEWS360AI'!B:D,2,0)</f>
        <v>0</v>
      </c>
      <c r="W30" s="8">
        <f>VLOOKUP(A30,'[1]22_eFSL'!B:F,4,0)</f>
        <v>100</v>
      </c>
      <c r="X30" s="8">
        <f>VLOOKUP(A30,'[1]23_UC3'!B:D,2,0)</f>
        <v>0</v>
      </c>
      <c r="Y30" s="8">
        <f>VLOOKUP(A30,'[1]23_UC4'!B:D,3,0)</f>
        <v>0</v>
      </c>
    </row>
    <row r="31" spans="1:25" s="9" customFormat="1" ht="26.1" customHeight="1" x14ac:dyDescent="0.25">
      <c r="A31" s="7" t="s">
        <v>54</v>
      </c>
      <c r="B31" s="8" t="str">
        <f>VLOOKUP(A31,'[1]1_MEDLEAPR_PME'!B:H,6,0)</f>
        <v>100.00</v>
      </c>
      <c r="C31" s="8">
        <f>VLOOKUP(A31,'[1]2_MEDLEAPR_MLC'!B:I,6,0)</f>
        <v>100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91.65</v>
      </c>
      <c r="G31" s="8">
        <f>VLOOKUP(A31,'[1]6_CCTNS_1_7'!B:P,13,0)</f>
        <v>100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44.090056285178235</v>
      </c>
      <c r="L31" s="8">
        <f>VLOOKUP(A31,'[1]11_e DAR'!B:F,4,0)</f>
        <v>100</v>
      </c>
      <c r="M31" s="8">
        <f>VLOOKUP(A31,'[1]12_CEIR'!B:L,10,0)</f>
        <v>0</v>
      </c>
      <c r="N31" s="8">
        <f>VLOOKUP(A31,'[1]13_EPROSEC'!B:H,4,0)</f>
        <v>20</v>
      </c>
      <c r="O31" s="8">
        <f>VLOOKUP(A31,'[1]14_FIR_CS_COURT'!B:L,11,0)</f>
        <v>50.644438217988231</v>
      </c>
      <c r="P31" s="8">
        <f>VLOOKUP(A31,'[1]15_EOFFICE'!B:K,9,0)</f>
        <v>0</v>
      </c>
      <c r="Q31" s="8">
        <f>VLOOKUP(A31,'[1]16_APOLIS'!B:K,10,0)</f>
        <v>83.928571428571431</v>
      </c>
      <c r="R31" s="8">
        <f>VLOOKUP(A31,'[1]17_DRONE_FLYING'!B:J,9,0)</f>
        <v>0</v>
      </c>
      <c r="S31" s="8">
        <f>VLOOKUP(A31,'[1]18_112_TABS'!B:H,6,0)</f>
        <v>100</v>
      </c>
      <c r="T31" s="8">
        <f>VLOOKUP(A31,'[1]19_DIAL100_RES'!B:H,6,0)</f>
        <v>50</v>
      </c>
      <c r="U31" s="8">
        <f>VLOOKUP(A31,'[1]20_CCTV_360'!B:S,17,0)</f>
        <v>100</v>
      </c>
      <c r="V31" s="8">
        <f>VLOOKUP(A31,'[1]21_NEWS360AI'!B:D,2,0)</f>
        <v>0</v>
      </c>
      <c r="W31" s="8">
        <f>VLOOKUP(A31,'[1]22_eFSL'!B:F,4,0)</f>
        <v>100</v>
      </c>
      <c r="X31" s="8">
        <f>VLOOKUP(A31,'[1]23_UC3'!B:D,2,0)</f>
        <v>0</v>
      </c>
      <c r="Y31" s="8">
        <f>VLOOKUP(A31,'[1]23_UC4'!B:D,3,0)</f>
        <v>0</v>
      </c>
    </row>
    <row r="32" spans="1:25" s="9" customFormat="1" ht="26.1" customHeight="1" x14ac:dyDescent="0.25">
      <c r="A32" s="7" t="s">
        <v>55</v>
      </c>
      <c r="B32" s="8" t="str">
        <f>VLOOKUP(A32,'[1]1_MEDLEAPR_PME'!B:H,6,0)</f>
        <v>100.00</v>
      </c>
      <c r="C32" s="8">
        <f>VLOOKUP(A32,'[1]2_MEDLEAPR_MLC'!B:I,6,0)</f>
        <v>100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88.34</v>
      </c>
      <c r="G32" s="8">
        <f>VLOOKUP(A32,'[1]6_CCTNS_1_7'!B:P,13,0)</f>
        <v>89.27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VLOOKUP(A32,'[1]10_ESAKSHYA'!B:L,6,0)</f>
        <v>92.901234567901241</v>
      </c>
      <c r="L32" s="8">
        <f>VLOOKUP(A32,'[1]11_e DAR'!B:F,4,0)</f>
        <v>100</v>
      </c>
      <c r="M32" s="8">
        <f>VLOOKUP(A32,'[1]12_CEIR'!B:L,10,0)</f>
        <v>0</v>
      </c>
      <c r="N32" s="8">
        <f>VLOOKUP(A32,'[1]13_EPROSEC'!B:H,4,0)</f>
        <v>100</v>
      </c>
      <c r="O32" s="8">
        <f>VLOOKUP(A32,'[1]14_FIR_CS_COURT'!B:L,11,0)</f>
        <v>94.73684210526315</v>
      </c>
      <c r="P32" s="8">
        <f>VLOOKUP(A32,'[1]15_EOFFICE'!B:K,9,0)</f>
        <v>0</v>
      </c>
      <c r="Q32" s="8">
        <f>VLOOKUP(A32,'[1]16_APOLIS'!B:K,10,0)</f>
        <v>82.142857142857139</v>
      </c>
      <c r="R32" s="8">
        <f>VLOOKUP(A32,'[1]17_DRONE_FLYING'!B:J,9,0)</f>
        <v>0</v>
      </c>
      <c r="S32" s="8">
        <f>VLOOKUP(A32,'[1]18_112_TABS'!B:H,6,0)</f>
        <v>100</v>
      </c>
      <c r="T32" s="8">
        <f>VLOOKUP(A32,'[1]19_DIAL100_RES'!B:H,6,0)</f>
        <v>50</v>
      </c>
      <c r="U32" s="8">
        <f>VLOOKUP(A32,'[1]20_CCTV_360'!B:S,17,0)</f>
        <v>28.571428571428569</v>
      </c>
      <c r="V32" s="8">
        <f>VLOOKUP(A32,'[1]21_NEWS360AI'!B:D,2,0)</f>
        <v>0</v>
      </c>
      <c r="W32" s="8">
        <f>VLOOKUP(A32,'[1]22_eFSL'!B:F,4,0)</f>
        <v>100</v>
      </c>
      <c r="X32" s="8">
        <f>VLOOKUP(A32,'[1]23_UC3'!B:D,2,0)</f>
        <v>0</v>
      </c>
      <c r="Y32" s="8">
        <f>VLOOKUP(A32,'[1]23_UC4'!B:D,3,0)</f>
        <v>0</v>
      </c>
    </row>
    <row r="33" spans="1:25" s="9" customFormat="1" ht="26.1" customHeight="1" x14ac:dyDescent="0.25">
      <c r="A33" s="7" t="s">
        <v>56</v>
      </c>
      <c r="B33" s="8">
        <f>VLOOKUP(A33,'[1]1_MEDLEAPR_PME'!B:H,6,0)</f>
        <v>100</v>
      </c>
      <c r="C33" s="8" t="str">
        <f>VLOOKUP(A33,'[1]2_MEDLEAPR_MLC'!B:I,6,0)</f>
        <v>100.00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100</v>
      </c>
      <c r="G33" s="8">
        <f>VLOOKUP(A33,'[1]6_CCTNS_1_7'!B:P,13,0)</f>
        <v>100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94.690265486725664</v>
      </c>
      <c r="L33" s="8">
        <f>VLOOKUP(A33,'[1]11_e DAR'!B:F,4,0)</f>
        <v>100</v>
      </c>
      <c r="M33" s="8">
        <f>VLOOKUP(A33,'[1]12_CEIR'!B:L,10,0)</f>
        <v>0</v>
      </c>
      <c r="N33" s="8">
        <f>VLOOKUP(A33,'[1]13_EPROSEC'!B:H,4,0)</f>
        <v>100</v>
      </c>
      <c r="O33" s="8">
        <f>VLOOKUP(A33,'[1]14_FIR_CS_COURT'!B:L,11,0)</f>
        <v>96.341463414634148</v>
      </c>
      <c r="P33" s="8">
        <f>VLOOKUP(A33,'[1]15_EOFFICE'!B:K,9,0)</f>
        <v>0</v>
      </c>
      <c r="Q33" s="8">
        <f>VLOOKUP(A33,'[1]16_APOLIS'!B:K,10,0)</f>
        <v>85</v>
      </c>
      <c r="R33" s="8">
        <f>VLOOKUP(A33,'[1]17_DRONE_FLYING'!B:J,9,0)</f>
        <v>0</v>
      </c>
      <c r="S33" s="8">
        <f>VLOOKUP(A33,'[1]18_112_TABS'!B:H,6,0)</f>
        <v>100</v>
      </c>
      <c r="T33" s="8">
        <f>VLOOKUP(A33,'[1]19_DIAL100_RES'!B:H,6,0)</f>
        <v>50</v>
      </c>
      <c r="U33" s="8">
        <f>VLOOKUP(A33,'[1]20_CCTV_360'!B:S,17,0)</f>
        <v>78.571428571428569</v>
      </c>
      <c r="V33" s="8">
        <f>VLOOKUP(A33,'[1]21_NEWS360AI'!B:D,2,0)</f>
        <v>0</v>
      </c>
      <c r="W33" s="8">
        <f>VLOOKUP(A33,'[1]22_eFSL'!B:F,4,0)</f>
        <v>100</v>
      </c>
      <c r="X33" s="8">
        <f>VLOOKUP(A33,'[1]23_UC3'!B:D,2,0)</f>
        <v>0</v>
      </c>
      <c r="Y33" s="8">
        <f>VLOOKUP(A33,'[1]23_UC4'!B:D,3,0)</f>
        <v>0</v>
      </c>
    </row>
    <row r="34" spans="1:25" s="9" customFormat="1" ht="26.1" customHeight="1" x14ac:dyDescent="0.25">
      <c r="A34" s="7" t="s">
        <v>57</v>
      </c>
      <c r="B34" s="8">
        <f>VLOOKUP(A34,'[1]1_MEDLEAPR_PME'!B:H,6,0)</f>
        <v>100</v>
      </c>
      <c r="C34" s="8" t="str">
        <f>VLOOKUP(A34,'[1]2_MEDLEAPR_MLC'!B:I,6,0)</f>
        <v>100.00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100</v>
      </c>
      <c r="G34" s="8">
        <f>VLOOKUP(A34,'[1]6_CCTNS_1_7'!B:P,13,0)</f>
        <v>89.27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81.496062992125985</v>
      </c>
      <c r="L34" s="8">
        <f>VLOOKUP(A34,'[1]11_e DAR'!B:F,4,0)</f>
        <v>100</v>
      </c>
      <c r="M34" s="8">
        <f>VLOOKUP(A34,'[1]12_CEIR'!B:L,10,0)</f>
        <v>0</v>
      </c>
      <c r="N34" s="8">
        <f>VLOOKUP(A34,'[1]13_EPROSEC'!B:H,4,0)</f>
        <v>0</v>
      </c>
      <c r="O34" s="8">
        <f>VLOOKUP(A34,'[1]14_FIR_CS_COURT'!B:L,11,0)</f>
        <v>100</v>
      </c>
      <c r="P34" s="8">
        <f>VLOOKUP(A34,'[1]15_EOFFICE'!B:K,9,0)</f>
        <v>0</v>
      </c>
      <c r="Q34" s="8">
        <f>VLOOKUP(A34,'[1]16_APOLIS'!B:K,10,0)</f>
        <v>85</v>
      </c>
      <c r="R34" s="8">
        <f>VLOOKUP(A34,'[1]17_DRONE_FLYING'!B:J,9,0)</f>
        <v>0</v>
      </c>
      <c r="S34" s="8">
        <f>VLOOKUP(A34,'[1]18_112_TABS'!B:H,6,0)</f>
        <v>100</v>
      </c>
      <c r="T34" s="8">
        <f>VLOOKUP(A34,'[1]19_DIAL100_RES'!B:H,6,0)</f>
        <v>50</v>
      </c>
      <c r="U34" s="8">
        <f>VLOOKUP(A34,'[1]20_CCTV_360'!B:S,17,0)</f>
        <v>71.428571428571431</v>
      </c>
      <c r="V34" s="8">
        <f>VLOOKUP(A34,'[1]21_NEWS360AI'!B:D,2,0)</f>
        <v>0</v>
      </c>
      <c r="W34" s="8">
        <f>VLOOKUP(A34,'[1]22_eFSL'!B:F,4,0)</f>
        <v>100</v>
      </c>
      <c r="X34" s="8">
        <f>VLOOKUP(A34,'[1]23_UC3'!B:D,2,0)</f>
        <v>0</v>
      </c>
      <c r="Y34" s="8">
        <f>VLOOKUP(A34,'[1]23_UC4'!B:D,3,0)</f>
        <v>0</v>
      </c>
    </row>
    <row r="35" spans="1:25" s="9" customFormat="1" ht="26.1" customHeight="1" x14ac:dyDescent="0.25">
      <c r="A35" s="7" t="s">
        <v>58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81.25</v>
      </c>
      <c r="G35" s="8">
        <f>VLOOKUP(A35,'[1]6_CCTNS_1_7'!B:P,13,0)</f>
        <v>100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82.608695652173907</v>
      </c>
      <c r="L35" s="8">
        <f>VLOOKUP(A35,'[1]11_e DAR'!B:F,4,0)</f>
        <v>100</v>
      </c>
      <c r="M35" s="8">
        <f>VLOOKUP(A35,'[1]12_CEIR'!B:L,10,0)</f>
        <v>0</v>
      </c>
      <c r="N35" s="8">
        <f>VLOOKUP(A35,'[1]13_EPROSEC'!B:H,4,0)</f>
        <v>100</v>
      </c>
      <c r="O35" s="8">
        <f>VLOOKUP(A35,'[1]14_FIR_CS_COURT'!B:L,11,0)</f>
        <v>50</v>
      </c>
      <c r="P35" s="8">
        <f>VLOOKUP(A35,'[1]15_EOFFICE'!B:K,9,0)</f>
        <v>0</v>
      </c>
      <c r="Q35" s="8">
        <f>VLOOKUP(A35,'[1]16_APOLIS'!B:K,10,0)</f>
        <v>87.5</v>
      </c>
      <c r="R35" s="8">
        <f>VLOOKUP(A35,'[1]17_DRONE_FLYING'!B:J,9,0)</f>
        <v>0</v>
      </c>
      <c r="S35" s="8">
        <f>VLOOKUP(A35,'[1]18_112_TABS'!B:H,6,0)</f>
        <v>100</v>
      </c>
      <c r="T35" s="8">
        <f>VLOOKUP(A35,'[1]19_DIAL100_RES'!B:H,6,0)</f>
        <v>50</v>
      </c>
      <c r="U35" s="8">
        <f>VLOOKUP(A35,'[1]20_CCTV_360'!B:S,17,0)</f>
        <v>71.428571428571431</v>
      </c>
      <c r="V35" s="8">
        <f>VLOOKUP(A35,'[1]21_NEWS360AI'!B:D,2,0)</f>
        <v>0</v>
      </c>
      <c r="W35" s="8">
        <f>VLOOKUP(A35,'[1]22_eFSL'!B:F,4,0)</f>
        <v>100</v>
      </c>
      <c r="X35" s="8">
        <f>VLOOKUP(A35,'[1]23_UC3'!B:D,2,0)</f>
        <v>0</v>
      </c>
      <c r="Y35" s="8">
        <f>VLOOKUP(A35,'[1]23_UC4'!B:D,3,0)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itcore Anakapalli</dc:creator>
  <cp:lastModifiedBy>itcore Anakapalli</cp:lastModifiedBy>
  <dcterms:created xsi:type="dcterms:W3CDTF">2026-09-25T05:45:13Z</dcterms:created>
  <dcterms:modified xsi:type="dcterms:W3CDTF">2026-09-25T05:45:48Z</dcterms:modified>
</cp:coreProperties>
</file>