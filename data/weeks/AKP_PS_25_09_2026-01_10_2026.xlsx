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 Data\AKP Smart Policing Data\WEB UPLOADS\"/>
    </mc:Choice>
  </mc:AlternateContent>
  <xr:revisionPtr revIDLastSave="0" documentId="8_{AF26582D-D0B7-4A81-A6FE-9730A566F122}" xr6:coauthVersionLast="47" xr6:coauthVersionMax="47" xr10:uidLastSave="{00000000-0000-0000-0000-000000000000}"/>
  <bookViews>
    <workbookView xWindow="-120" yWindow="-120" windowWidth="29040" windowHeight="15720" xr2:uid="{5CBEC913-F4F3-41A7-BEDC-65C6F74FF689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<sst xmlns="http://schemas.openxmlformats.org/spreadsheetml/2006/main" count="59" uniqueCount="59">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</sst>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0"/>
      <color rgb="FFFFFFFF"/>
      <name val="Segoe UI"/>
      <charset val="134"/>
    </font>
    <font>
      <b/>
      <sz val="10"/>
      <color theme="0"/>
      <name val="Calibri"/>
      <charset val="134"/>
      <scheme val="minor"/>
    </font>
    <font>
      <b/>
      <sz val="10"/>
      <color rgb="FF000000"/>
      <name val="Segoe UI"/>
      <charset val="134"/>
    </font>
    <font>
      <b/>
      <sz val="7"/>
      <color rgb="FF000000"/>
      <name val="Segoe UI"/>
      <charset val="134"/>
    </font>
    <font>
      <sz val="10"/>
      <color indexed="8"/>
      <name val="Times New Roman"/>
      <charset val="134"/>
    </font>
    <font>
      <b/>
      <sz val="10"/>
      <color rgb="FF14532D"/>
      <name val="Segoe U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kpit\Downloads\SMART_POLICE_RAW_DATA%20(1)%20(2).xlsx" TargetMode="External"/><Relationship Id="rId1" Type="http://schemas.openxmlformats.org/officeDocument/2006/relationships/externalLinkPath" Target="file:///C:\Users\akpit\Downloads\SMART_POLICE_RAW_DATA%20(1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RIMAC"/>
      <sheetName val="12_CEIR"/>
      <sheetName val="13_EPROSEC"/>
      <sheetName val="14_FIR_CS_COURT"/>
      <sheetName val="15_EOFFICE"/>
      <sheetName val="16_APOLIS"/>
      <sheetName val="17_DRONE_FLYING"/>
      <sheetName val="18_112_TABS"/>
      <sheetName val="19_DIAL100_RES"/>
      <sheetName val="20_CCTV_360"/>
      <sheetName val="21_NEWS360AI"/>
      <sheetName val="22_eFSL"/>
      <sheetName val="23_UC3"/>
      <sheetName val="23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2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C8">
            <v>3</v>
          </cell>
          <cell r="D8">
            <v>3</v>
          </cell>
          <cell r="E8">
            <v>3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1</v>
          </cell>
          <cell r="F12">
            <v>100</v>
          </cell>
          <cell r="G12">
            <v>100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C14">
            <v>2</v>
          </cell>
          <cell r="D14">
            <v>2</v>
          </cell>
          <cell r="E14">
            <v>2</v>
          </cell>
          <cell r="F14">
            <v>100</v>
          </cell>
          <cell r="G14">
            <v>100</v>
          </cell>
          <cell r="H14">
            <v>2.5</v>
          </cell>
        </row>
        <row r="15">
          <cell r="B15" t="str">
            <v>Kasimkota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1</v>
          </cell>
          <cell r="D19">
            <v>1</v>
          </cell>
          <cell r="E19">
            <v>1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5</v>
          </cell>
          <cell r="D25">
            <v>5</v>
          </cell>
          <cell r="E25">
            <v>5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3</v>
          </cell>
          <cell r="D33">
            <v>3</v>
          </cell>
          <cell r="E33">
            <v>3</v>
          </cell>
          <cell r="F33">
            <v>100</v>
          </cell>
          <cell r="G33">
            <v>100</v>
          </cell>
          <cell r="H33">
            <v>2.5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</v>
          </cell>
          <cell r="F34">
            <v>100</v>
          </cell>
          <cell r="G34">
            <v>100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22</v>
          </cell>
          <cell r="D36">
            <v>22</v>
          </cell>
          <cell r="E36">
            <v>22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2</v>
          </cell>
          <cell r="D4">
            <v>2</v>
          </cell>
          <cell r="E4">
            <v>2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2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C10">
            <v>3</v>
          </cell>
          <cell r="D10">
            <v>3</v>
          </cell>
          <cell r="E10">
            <v>3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C17">
            <v>2</v>
          </cell>
          <cell r="D17">
            <v>2</v>
          </cell>
          <cell r="E17">
            <v>2</v>
          </cell>
          <cell r="F17">
            <v>100</v>
          </cell>
          <cell r="G17">
            <v>100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C24">
            <v>3</v>
          </cell>
          <cell r="D24">
            <v>3</v>
          </cell>
          <cell r="E24">
            <v>3</v>
          </cell>
          <cell r="F24">
            <v>100</v>
          </cell>
          <cell r="G24">
            <v>100</v>
          </cell>
          <cell r="H24">
            <v>2.5</v>
          </cell>
        </row>
        <row r="25">
          <cell r="B25" t="str">
            <v>Parawada</v>
          </cell>
          <cell r="F25" t="str">
            <v>100.00</v>
          </cell>
          <cell r="G25" t="str">
            <v>100.00</v>
          </cell>
          <cell r="H25">
            <v>2.5</v>
          </cell>
        </row>
        <row r="26">
          <cell r="B26" t="str">
            <v>Payakaraopeta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1</v>
          </cell>
          <cell r="F32">
            <v>100</v>
          </cell>
          <cell r="G32">
            <v>100</v>
          </cell>
          <cell r="H32">
            <v>2.5</v>
          </cell>
        </row>
        <row r="33">
          <cell r="B33" t="str">
            <v>Yelamanchili Rural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17</v>
          </cell>
          <cell r="D36">
            <v>17</v>
          </cell>
          <cell r="E36">
            <v>17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1607</v>
          </cell>
          <cell r="D3">
            <v>1732</v>
          </cell>
          <cell r="E3">
            <v>542</v>
          </cell>
          <cell r="F3">
            <v>98</v>
          </cell>
          <cell r="G3">
            <v>11171</v>
          </cell>
          <cell r="H3">
            <v>6742</v>
          </cell>
          <cell r="I3">
            <v>1373</v>
          </cell>
          <cell r="J3">
            <v>496</v>
          </cell>
          <cell r="K3">
            <v>574</v>
          </cell>
          <cell r="L3">
            <v>1613</v>
          </cell>
          <cell r="M3">
            <v>15.1468574984443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3631</v>
          </cell>
          <cell r="D4">
            <v>3242</v>
          </cell>
          <cell r="E4">
            <v>1398</v>
          </cell>
          <cell r="F4">
            <v>391</v>
          </cell>
          <cell r="G4">
            <v>12263</v>
          </cell>
          <cell r="H4">
            <v>16941</v>
          </cell>
          <cell r="I4">
            <v>3500</v>
          </cell>
          <cell r="J4">
            <v>1449</v>
          </cell>
          <cell r="K4">
            <v>2599</v>
          </cell>
          <cell r="L4">
            <v>4247</v>
          </cell>
          <cell r="M4">
            <v>12.676948499036101</v>
          </cell>
          <cell r="N4">
            <v>96.48</v>
          </cell>
          <cell r="O4">
            <v>2.4119999999999999</v>
          </cell>
        </row>
        <row r="5">
          <cell r="B5" t="str">
            <v>Anakapalli Town</v>
          </cell>
          <cell r="C5">
            <v>6259</v>
          </cell>
          <cell r="D5">
            <v>3940</v>
          </cell>
          <cell r="E5">
            <v>2217</v>
          </cell>
          <cell r="F5">
            <v>439</v>
          </cell>
          <cell r="G5">
            <v>20753</v>
          </cell>
          <cell r="H5">
            <v>21246</v>
          </cell>
          <cell r="I5">
            <v>5401</v>
          </cell>
          <cell r="J5">
            <v>3310</v>
          </cell>
          <cell r="K5">
            <v>3288</v>
          </cell>
          <cell r="L5">
            <v>5810</v>
          </cell>
          <cell r="M5">
            <v>10.6093625179741</v>
          </cell>
          <cell r="N5">
            <v>80.739999999999995</v>
          </cell>
          <cell r="O5">
            <v>2.0185</v>
          </cell>
        </row>
        <row r="6">
          <cell r="B6" t="str">
            <v>Anakapalli Traffic</v>
          </cell>
          <cell r="C6">
            <v>1008</v>
          </cell>
          <cell r="D6">
            <v>1037</v>
          </cell>
          <cell r="E6">
            <v>519</v>
          </cell>
          <cell r="F6">
            <v>0</v>
          </cell>
          <cell r="G6">
            <v>3882</v>
          </cell>
          <cell r="H6">
            <v>5804</v>
          </cell>
          <cell r="I6">
            <v>1328</v>
          </cell>
          <cell r="J6">
            <v>162</v>
          </cell>
          <cell r="K6">
            <v>988</v>
          </cell>
          <cell r="L6">
            <v>909</v>
          </cell>
          <cell r="M6">
            <v>14.512896825396799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3339</v>
          </cell>
          <cell r="D7">
            <v>3238</v>
          </cell>
          <cell r="E7">
            <v>1019</v>
          </cell>
          <cell r="F7">
            <v>674</v>
          </cell>
          <cell r="G7">
            <v>12033</v>
          </cell>
          <cell r="H7">
            <v>14882</v>
          </cell>
          <cell r="I7">
            <v>2879</v>
          </cell>
          <cell r="J7">
            <v>1448</v>
          </cell>
          <cell r="K7">
            <v>1439</v>
          </cell>
          <cell r="L7">
            <v>4552</v>
          </cell>
          <cell r="M7">
            <v>12.627732854147901</v>
          </cell>
          <cell r="N7">
            <v>96.1</v>
          </cell>
          <cell r="O7">
            <v>2.4024999999999999</v>
          </cell>
        </row>
        <row r="8">
          <cell r="B8" t="str">
            <v>Butchiyyapeta</v>
          </cell>
          <cell r="C8">
            <v>2522</v>
          </cell>
          <cell r="D8">
            <v>1891</v>
          </cell>
          <cell r="E8">
            <v>1194</v>
          </cell>
          <cell r="F8">
            <v>109</v>
          </cell>
          <cell r="G8">
            <v>8497</v>
          </cell>
          <cell r="H8">
            <v>11360</v>
          </cell>
          <cell r="I8">
            <v>2220</v>
          </cell>
          <cell r="J8">
            <v>804</v>
          </cell>
          <cell r="K8">
            <v>945</v>
          </cell>
          <cell r="L8">
            <v>2753</v>
          </cell>
          <cell r="M8">
            <v>11.805313243457601</v>
          </cell>
          <cell r="N8">
            <v>89.84</v>
          </cell>
          <cell r="O8">
            <v>2.246</v>
          </cell>
        </row>
        <row r="9">
          <cell r="B9" t="str">
            <v>Cheedikada</v>
          </cell>
          <cell r="C9">
            <v>1709</v>
          </cell>
          <cell r="D9">
            <v>1786</v>
          </cell>
          <cell r="E9">
            <v>781</v>
          </cell>
          <cell r="F9">
            <v>702</v>
          </cell>
          <cell r="G9">
            <v>13590</v>
          </cell>
          <cell r="H9">
            <v>6894</v>
          </cell>
          <cell r="I9">
            <v>1413</v>
          </cell>
          <cell r="J9">
            <v>548</v>
          </cell>
          <cell r="K9">
            <v>624</v>
          </cell>
          <cell r="L9">
            <v>1443</v>
          </cell>
          <cell r="M9">
            <v>16.255705090696299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4696</v>
          </cell>
          <cell r="D10">
            <v>3193</v>
          </cell>
          <cell r="E10">
            <v>2439</v>
          </cell>
          <cell r="F10">
            <v>258</v>
          </cell>
          <cell r="G10">
            <v>18802</v>
          </cell>
          <cell r="H10">
            <v>20962</v>
          </cell>
          <cell r="I10">
            <v>4028</v>
          </cell>
          <cell r="J10">
            <v>1520</v>
          </cell>
          <cell r="K10">
            <v>1838</v>
          </cell>
          <cell r="L10">
            <v>5208</v>
          </cell>
          <cell r="M10">
            <v>12.4037478705281</v>
          </cell>
          <cell r="N10">
            <v>94.4</v>
          </cell>
          <cell r="O10">
            <v>2.36</v>
          </cell>
        </row>
        <row r="11">
          <cell r="B11" t="str">
            <v>Devarapalli</v>
          </cell>
          <cell r="C11">
            <v>2760</v>
          </cell>
          <cell r="D11">
            <v>2900</v>
          </cell>
          <cell r="E11">
            <v>920</v>
          </cell>
          <cell r="F11">
            <v>76</v>
          </cell>
          <cell r="G11">
            <v>9449</v>
          </cell>
          <cell r="H11">
            <v>11056</v>
          </cell>
          <cell r="I11">
            <v>2282</v>
          </cell>
          <cell r="J11">
            <v>855</v>
          </cell>
          <cell r="K11">
            <v>852</v>
          </cell>
          <cell r="L11">
            <v>3590</v>
          </cell>
          <cell r="M11">
            <v>11.586956521739101</v>
          </cell>
          <cell r="N11">
            <v>88.18</v>
          </cell>
          <cell r="O11">
            <v>2.2044999999999999</v>
          </cell>
        </row>
        <row r="12">
          <cell r="B12" t="str">
            <v>Golugonda</v>
          </cell>
          <cell r="C12">
            <v>1607</v>
          </cell>
          <cell r="D12">
            <v>1844</v>
          </cell>
          <cell r="E12">
            <v>1294</v>
          </cell>
          <cell r="F12">
            <v>44</v>
          </cell>
          <cell r="G12">
            <v>9746</v>
          </cell>
          <cell r="H12">
            <v>7691</v>
          </cell>
          <cell r="I12">
            <v>1641</v>
          </cell>
          <cell r="J12">
            <v>707</v>
          </cell>
          <cell r="K12">
            <v>676</v>
          </cell>
          <cell r="L12">
            <v>1913</v>
          </cell>
          <cell r="M12">
            <v>15.902924704418201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1041</v>
          </cell>
          <cell r="D13">
            <v>1037</v>
          </cell>
          <cell r="E13">
            <v>792</v>
          </cell>
          <cell r="F13">
            <v>117</v>
          </cell>
          <cell r="G13">
            <v>3017</v>
          </cell>
          <cell r="H13">
            <v>4808</v>
          </cell>
          <cell r="I13">
            <v>941</v>
          </cell>
          <cell r="J13">
            <v>354</v>
          </cell>
          <cell r="K13">
            <v>261</v>
          </cell>
          <cell r="L13">
            <v>893</v>
          </cell>
          <cell r="M13">
            <v>11.738712776176801</v>
          </cell>
          <cell r="N13">
            <v>89.34</v>
          </cell>
          <cell r="O13">
            <v>2.2334999999999998</v>
          </cell>
        </row>
        <row r="14">
          <cell r="B14" t="str">
            <v>K.Kotapadu</v>
          </cell>
          <cell r="C14">
            <v>1775</v>
          </cell>
          <cell r="D14">
            <v>1815</v>
          </cell>
          <cell r="E14">
            <v>544</v>
          </cell>
          <cell r="F14">
            <v>99</v>
          </cell>
          <cell r="G14">
            <v>7318</v>
          </cell>
          <cell r="H14">
            <v>8905</v>
          </cell>
          <cell r="I14">
            <v>1548</v>
          </cell>
          <cell r="J14">
            <v>550</v>
          </cell>
          <cell r="K14">
            <v>656</v>
          </cell>
          <cell r="L14">
            <v>2118</v>
          </cell>
          <cell r="M14">
            <v>13.269295774647899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3723</v>
          </cell>
          <cell r="D15">
            <v>3775</v>
          </cell>
          <cell r="E15">
            <v>1663</v>
          </cell>
          <cell r="F15">
            <v>232</v>
          </cell>
          <cell r="G15">
            <v>16633</v>
          </cell>
          <cell r="H15">
            <v>15982</v>
          </cell>
          <cell r="I15">
            <v>3242</v>
          </cell>
          <cell r="J15">
            <v>1457</v>
          </cell>
          <cell r="K15">
            <v>2434</v>
          </cell>
          <cell r="L15">
            <v>3088</v>
          </cell>
          <cell r="M15">
            <v>13.028740263228601</v>
          </cell>
          <cell r="N15">
            <v>99.15</v>
          </cell>
          <cell r="O15">
            <v>2.4787499999999998</v>
          </cell>
        </row>
        <row r="16">
          <cell r="B16" t="str">
            <v>Kotavurtla</v>
          </cell>
          <cell r="C16">
            <v>2346</v>
          </cell>
          <cell r="D16">
            <v>1840</v>
          </cell>
          <cell r="E16">
            <v>696</v>
          </cell>
          <cell r="F16">
            <v>261</v>
          </cell>
          <cell r="G16">
            <v>12556</v>
          </cell>
          <cell r="H16">
            <v>6944</v>
          </cell>
          <cell r="I16">
            <v>2198</v>
          </cell>
          <cell r="J16">
            <v>674</v>
          </cell>
          <cell r="K16">
            <v>651</v>
          </cell>
          <cell r="L16">
            <v>2854</v>
          </cell>
          <cell r="M16">
            <v>12.222506393861901</v>
          </cell>
          <cell r="N16">
            <v>93.02</v>
          </cell>
          <cell r="O16">
            <v>2.3254999999999999</v>
          </cell>
        </row>
        <row r="17">
          <cell r="B17" t="str">
            <v>Kothakota</v>
          </cell>
          <cell r="C17">
            <v>1927</v>
          </cell>
          <cell r="D17">
            <v>1941</v>
          </cell>
          <cell r="E17">
            <v>722</v>
          </cell>
          <cell r="F17">
            <v>941</v>
          </cell>
          <cell r="G17">
            <v>7573</v>
          </cell>
          <cell r="H17">
            <v>8454</v>
          </cell>
          <cell r="I17">
            <v>1723</v>
          </cell>
          <cell r="J17">
            <v>706</v>
          </cell>
          <cell r="K17">
            <v>651</v>
          </cell>
          <cell r="L17">
            <v>1965</v>
          </cell>
          <cell r="M17">
            <v>12.8053969901401</v>
          </cell>
          <cell r="N17">
            <v>97.46</v>
          </cell>
          <cell r="O17">
            <v>2.4365000000000001</v>
          </cell>
        </row>
        <row r="18">
          <cell r="B18" t="str">
            <v>Mahila UPS, Anakapalli</v>
          </cell>
          <cell r="C18">
            <v>841</v>
          </cell>
          <cell r="D18">
            <v>556</v>
          </cell>
          <cell r="E18">
            <v>80</v>
          </cell>
          <cell r="F18">
            <v>5</v>
          </cell>
          <cell r="G18">
            <v>3681</v>
          </cell>
          <cell r="H18">
            <v>7690</v>
          </cell>
          <cell r="I18">
            <v>1018</v>
          </cell>
          <cell r="J18">
            <v>25</v>
          </cell>
          <cell r="K18">
            <v>419</v>
          </cell>
          <cell r="L18">
            <v>2852</v>
          </cell>
          <cell r="M18">
            <v>19.412604042806201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2721</v>
          </cell>
          <cell r="D19">
            <v>1011</v>
          </cell>
          <cell r="E19">
            <v>799</v>
          </cell>
          <cell r="F19">
            <v>236</v>
          </cell>
          <cell r="G19">
            <v>16831</v>
          </cell>
          <cell r="H19">
            <v>9217</v>
          </cell>
          <cell r="I19">
            <v>2518</v>
          </cell>
          <cell r="J19">
            <v>881</v>
          </cell>
          <cell r="K19">
            <v>1410</v>
          </cell>
          <cell r="L19">
            <v>3056</v>
          </cell>
          <cell r="M19">
            <v>13.215361999264999</v>
          </cell>
          <cell r="N19">
            <v>100</v>
          </cell>
          <cell r="O19">
            <v>2.5</v>
          </cell>
        </row>
        <row r="20">
          <cell r="B20" t="str">
            <v>Munagapaka</v>
          </cell>
          <cell r="C20">
            <v>2455</v>
          </cell>
          <cell r="D20">
            <v>2578</v>
          </cell>
          <cell r="E20">
            <v>749</v>
          </cell>
          <cell r="F20">
            <v>122</v>
          </cell>
          <cell r="G20">
            <v>9552</v>
          </cell>
          <cell r="H20">
            <v>11021</v>
          </cell>
          <cell r="I20">
            <v>1984</v>
          </cell>
          <cell r="J20">
            <v>1060</v>
          </cell>
          <cell r="K20">
            <v>1321</v>
          </cell>
          <cell r="L20">
            <v>3322</v>
          </cell>
          <cell r="M20">
            <v>12.9160896130346</v>
          </cell>
          <cell r="N20">
            <v>98.3</v>
          </cell>
          <cell r="O20">
            <v>2.4575</v>
          </cell>
        </row>
        <row r="21">
          <cell r="B21" t="str">
            <v>Nakkapalli</v>
          </cell>
          <cell r="C21">
            <v>3270</v>
          </cell>
          <cell r="D21">
            <v>3302</v>
          </cell>
          <cell r="E21">
            <v>673</v>
          </cell>
          <cell r="F21">
            <v>1013</v>
          </cell>
          <cell r="G21">
            <v>24379</v>
          </cell>
          <cell r="H21">
            <v>14801</v>
          </cell>
          <cell r="I21">
            <v>2961</v>
          </cell>
          <cell r="J21">
            <v>1364</v>
          </cell>
          <cell r="K21">
            <v>1324</v>
          </cell>
          <cell r="L21">
            <v>3860</v>
          </cell>
          <cell r="M21">
            <v>16.414984709480098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1489</v>
          </cell>
          <cell r="D22">
            <v>1521</v>
          </cell>
          <cell r="E22">
            <v>798</v>
          </cell>
          <cell r="F22">
            <v>122</v>
          </cell>
          <cell r="G22">
            <v>5892</v>
          </cell>
          <cell r="H22">
            <v>6852</v>
          </cell>
          <cell r="I22">
            <v>1428</v>
          </cell>
          <cell r="J22">
            <v>626</v>
          </cell>
          <cell r="K22">
            <v>778</v>
          </cell>
          <cell r="L22">
            <v>1661</v>
          </cell>
          <cell r="M22">
            <v>13.2155809267965</v>
          </cell>
          <cell r="N22">
            <v>100</v>
          </cell>
          <cell r="O22">
            <v>2.5</v>
          </cell>
        </row>
        <row r="23">
          <cell r="B23" t="str">
            <v>Narsipatnam Town</v>
          </cell>
          <cell r="C23">
            <v>4336</v>
          </cell>
          <cell r="D23">
            <v>4098</v>
          </cell>
          <cell r="E23">
            <v>2284</v>
          </cell>
          <cell r="F23">
            <v>349</v>
          </cell>
          <cell r="G23">
            <v>11908</v>
          </cell>
          <cell r="H23">
            <v>17530</v>
          </cell>
          <cell r="I23">
            <v>4208</v>
          </cell>
          <cell r="J23">
            <v>1824</v>
          </cell>
          <cell r="K23">
            <v>1495</v>
          </cell>
          <cell r="L23">
            <v>4558</v>
          </cell>
          <cell r="M23">
            <v>11.1286900369004</v>
          </cell>
          <cell r="N23">
            <v>84.69</v>
          </cell>
          <cell r="O23">
            <v>2.1172499999999999</v>
          </cell>
        </row>
        <row r="24">
          <cell r="B24" t="str">
            <v>Nathavaram</v>
          </cell>
          <cell r="C24">
            <v>2364</v>
          </cell>
          <cell r="D24">
            <v>2203</v>
          </cell>
          <cell r="E24">
            <v>1108</v>
          </cell>
          <cell r="F24">
            <v>39</v>
          </cell>
          <cell r="G24">
            <v>6377</v>
          </cell>
          <cell r="H24">
            <v>9433</v>
          </cell>
          <cell r="I24">
            <v>2114</v>
          </cell>
          <cell r="J24">
            <v>1009</v>
          </cell>
          <cell r="K24">
            <v>933</v>
          </cell>
          <cell r="L24">
            <v>2898</v>
          </cell>
          <cell r="M24">
            <v>11.046531302876501</v>
          </cell>
          <cell r="N24">
            <v>84.07</v>
          </cell>
          <cell r="O24">
            <v>2.10175</v>
          </cell>
        </row>
        <row r="25">
          <cell r="B25" t="str">
            <v>Parawada</v>
          </cell>
          <cell r="C25">
            <v>3739</v>
          </cell>
          <cell r="D25">
            <v>1780</v>
          </cell>
          <cell r="E25">
            <v>2332</v>
          </cell>
          <cell r="F25">
            <v>441</v>
          </cell>
          <cell r="G25">
            <v>18001</v>
          </cell>
          <cell r="H25">
            <v>19026</v>
          </cell>
          <cell r="I25">
            <v>3144</v>
          </cell>
          <cell r="J25">
            <v>1821</v>
          </cell>
          <cell r="K25">
            <v>2016</v>
          </cell>
          <cell r="L25">
            <v>3969</v>
          </cell>
          <cell r="M25">
            <v>14.049211018989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3923</v>
          </cell>
          <cell r="D26">
            <v>3234</v>
          </cell>
          <cell r="E26">
            <v>1662</v>
          </cell>
          <cell r="F26">
            <v>192</v>
          </cell>
          <cell r="G26">
            <v>18374</v>
          </cell>
          <cell r="H26">
            <v>18143</v>
          </cell>
          <cell r="I26">
            <v>3319</v>
          </cell>
          <cell r="J26">
            <v>1677</v>
          </cell>
          <cell r="K26">
            <v>1306</v>
          </cell>
          <cell r="L26">
            <v>5196</v>
          </cell>
          <cell r="M26">
            <v>13.536324241651799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2464</v>
          </cell>
          <cell r="D27">
            <v>2783</v>
          </cell>
          <cell r="E27">
            <v>716</v>
          </cell>
          <cell r="F27">
            <v>79</v>
          </cell>
          <cell r="G27">
            <v>13218</v>
          </cell>
          <cell r="H27">
            <v>10380</v>
          </cell>
          <cell r="I27">
            <v>2091</v>
          </cell>
          <cell r="J27">
            <v>1130</v>
          </cell>
          <cell r="K27">
            <v>1146</v>
          </cell>
          <cell r="L27">
            <v>2986</v>
          </cell>
          <cell r="M27">
            <v>14.0133928571429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2178</v>
          </cell>
          <cell r="D28">
            <v>1753</v>
          </cell>
          <cell r="E28">
            <v>710</v>
          </cell>
          <cell r="F28">
            <v>222</v>
          </cell>
          <cell r="G28">
            <v>12536</v>
          </cell>
          <cell r="H28">
            <v>6986</v>
          </cell>
          <cell r="I28">
            <v>2218</v>
          </cell>
          <cell r="J28">
            <v>514</v>
          </cell>
          <cell r="K28">
            <v>824</v>
          </cell>
          <cell r="L28">
            <v>2560</v>
          </cell>
          <cell r="M28">
            <v>13.004132231405</v>
          </cell>
          <cell r="N28">
            <v>98.97</v>
          </cell>
          <cell r="O28">
            <v>2.4742500000000001</v>
          </cell>
        </row>
        <row r="29">
          <cell r="B29" t="str">
            <v>Rolugunta</v>
          </cell>
          <cell r="C29">
            <v>1964</v>
          </cell>
          <cell r="D29">
            <v>1618</v>
          </cell>
          <cell r="E29">
            <v>1573</v>
          </cell>
          <cell r="F29">
            <v>226</v>
          </cell>
          <cell r="G29">
            <v>7300</v>
          </cell>
          <cell r="H29">
            <v>7715</v>
          </cell>
          <cell r="I29">
            <v>1802</v>
          </cell>
          <cell r="J29">
            <v>883</v>
          </cell>
          <cell r="K29">
            <v>671</v>
          </cell>
          <cell r="L29">
            <v>1852</v>
          </cell>
          <cell r="M29">
            <v>12.0366598778004</v>
          </cell>
          <cell r="N29">
            <v>91.6</v>
          </cell>
          <cell r="O29">
            <v>2.29</v>
          </cell>
        </row>
        <row r="30">
          <cell r="B30" t="str">
            <v>S.Rayavaram</v>
          </cell>
          <cell r="C30">
            <v>3608</v>
          </cell>
          <cell r="D30">
            <v>3716</v>
          </cell>
          <cell r="E30">
            <v>969</v>
          </cell>
          <cell r="F30">
            <v>205</v>
          </cell>
          <cell r="G30">
            <v>6487</v>
          </cell>
          <cell r="H30">
            <v>14565</v>
          </cell>
          <cell r="I30">
            <v>3155</v>
          </cell>
          <cell r="J30">
            <v>1510</v>
          </cell>
          <cell r="K30">
            <v>1327</v>
          </cell>
          <cell r="L30">
            <v>4000</v>
          </cell>
          <cell r="M30">
            <v>9.9595343680709494</v>
          </cell>
          <cell r="N30">
            <v>75.8</v>
          </cell>
          <cell r="O30">
            <v>1.895</v>
          </cell>
        </row>
        <row r="31">
          <cell r="B31" t="str">
            <v>Sabbavaram</v>
          </cell>
          <cell r="C31">
            <v>3449</v>
          </cell>
          <cell r="D31">
            <v>3334</v>
          </cell>
          <cell r="E31">
            <v>1015</v>
          </cell>
          <cell r="F31">
            <v>226</v>
          </cell>
          <cell r="G31">
            <v>13897</v>
          </cell>
          <cell r="H31">
            <v>12343</v>
          </cell>
          <cell r="I31">
            <v>3243</v>
          </cell>
          <cell r="J31">
            <v>1250</v>
          </cell>
          <cell r="K31">
            <v>2382</v>
          </cell>
          <cell r="L31">
            <v>3987</v>
          </cell>
          <cell r="M31">
            <v>12.083792403595201</v>
          </cell>
          <cell r="N31">
            <v>91.96</v>
          </cell>
          <cell r="O31">
            <v>2.2989999999999999</v>
          </cell>
        </row>
        <row r="32">
          <cell r="B32" t="str">
            <v>V.Madugula</v>
          </cell>
          <cell r="C32">
            <v>2818</v>
          </cell>
          <cell r="D32">
            <v>2882</v>
          </cell>
          <cell r="E32">
            <v>1517</v>
          </cell>
          <cell r="F32">
            <v>155</v>
          </cell>
          <cell r="G32">
            <v>7517</v>
          </cell>
          <cell r="H32">
            <v>12590</v>
          </cell>
          <cell r="I32">
            <v>2590</v>
          </cell>
          <cell r="J32">
            <v>978</v>
          </cell>
          <cell r="K32">
            <v>1104</v>
          </cell>
          <cell r="L32">
            <v>3390</v>
          </cell>
          <cell r="M32">
            <v>11.612136266855901</v>
          </cell>
          <cell r="N32">
            <v>88.37</v>
          </cell>
          <cell r="O32">
            <v>2.2092499999999999</v>
          </cell>
        </row>
        <row r="33">
          <cell r="B33" t="str">
            <v>Yelamanchili Rural</v>
          </cell>
          <cell r="C33">
            <v>2302</v>
          </cell>
          <cell r="D33">
            <v>2249</v>
          </cell>
          <cell r="E33">
            <v>532</v>
          </cell>
          <cell r="F33">
            <v>376</v>
          </cell>
          <cell r="G33">
            <v>13302</v>
          </cell>
          <cell r="H33">
            <v>10141</v>
          </cell>
          <cell r="I33">
            <v>2108</v>
          </cell>
          <cell r="J33">
            <v>828</v>
          </cell>
          <cell r="K33">
            <v>1011</v>
          </cell>
          <cell r="L33">
            <v>2733</v>
          </cell>
          <cell r="M33">
            <v>14.4569939183319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1832</v>
          </cell>
          <cell r="D34">
            <v>1688</v>
          </cell>
          <cell r="E34">
            <v>430</v>
          </cell>
          <cell r="F34">
            <v>408</v>
          </cell>
          <cell r="G34">
            <v>10838</v>
          </cell>
          <cell r="H34">
            <v>7850</v>
          </cell>
          <cell r="I34">
            <v>1731</v>
          </cell>
          <cell r="J34">
            <v>744</v>
          </cell>
          <cell r="K34">
            <v>735</v>
          </cell>
          <cell r="L34">
            <v>1562</v>
          </cell>
          <cell r="M34">
            <v>14.1844978165939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45</v>
          </cell>
          <cell r="D35">
            <v>45</v>
          </cell>
          <cell r="E35">
            <v>0</v>
          </cell>
          <cell r="F35">
            <v>0</v>
          </cell>
          <cell r="G35">
            <v>193</v>
          </cell>
          <cell r="H35">
            <v>141</v>
          </cell>
          <cell r="I35">
            <v>42</v>
          </cell>
          <cell r="J35">
            <v>0</v>
          </cell>
          <cell r="K35">
            <v>17</v>
          </cell>
          <cell r="L35">
            <v>45</v>
          </cell>
          <cell r="M35">
            <v>10.733333333333301</v>
          </cell>
          <cell r="N35">
            <v>81.69</v>
          </cell>
          <cell r="O35">
            <v>2.0422500000000001</v>
          </cell>
        </row>
        <row r="36">
          <cell r="C36">
            <v>85748</v>
          </cell>
          <cell r="D36">
            <v>75562</v>
          </cell>
          <cell r="E36">
            <v>34687</v>
          </cell>
          <cell r="F36">
            <v>8857</v>
          </cell>
          <cell r="G36">
            <v>367566</v>
          </cell>
          <cell r="H36">
            <v>365095</v>
          </cell>
          <cell r="I36">
            <v>77391</v>
          </cell>
          <cell r="J36">
            <v>33164</v>
          </cell>
          <cell r="K36">
            <v>38695</v>
          </cell>
          <cell r="L36">
            <v>97443</v>
          </cell>
          <cell r="M36">
            <v>13.139786326934001</v>
          </cell>
          <cell r="N36">
            <v>94.550303030302999</v>
          </cell>
          <cell r="O36">
            <v>2.3637575757575799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50</v>
          </cell>
          <cell r="O3">
            <v>1.25</v>
          </cell>
        </row>
        <row r="4">
          <cell r="B4" t="str">
            <v>Anakapalli Rural</v>
          </cell>
          <cell r="C4">
            <v>4</v>
          </cell>
          <cell r="D4">
            <v>0</v>
          </cell>
          <cell r="E4">
            <v>0</v>
          </cell>
          <cell r="F4">
            <v>0</v>
          </cell>
          <cell r="G4">
            <v>17</v>
          </cell>
          <cell r="H4">
            <v>14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7.75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2</v>
          </cell>
          <cell r="D5">
            <v>2</v>
          </cell>
          <cell r="E5">
            <v>0</v>
          </cell>
          <cell r="F5">
            <v>0</v>
          </cell>
          <cell r="G5">
            <v>2</v>
          </cell>
          <cell r="H5">
            <v>6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</v>
          </cell>
          <cell r="N5">
            <v>74.040000000000006</v>
          </cell>
          <cell r="O5">
            <v>1.851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</v>
          </cell>
          <cell r="H6">
            <v>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4</v>
          </cell>
          <cell r="N6">
            <v>59.23</v>
          </cell>
          <cell r="O6">
            <v>1.48075</v>
          </cell>
        </row>
        <row r="7">
          <cell r="B7" t="str">
            <v>Atchutapuram</v>
          </cell>
          <cell r="C7">
            <v>6</v>
          </cell>
          <cell r="D7">
            <v>6</v>
          </cell>
          <cell r="E7">
            <v>0</v>
          </cell>
          <cell r="F7">
            <v>1</v>
          </cell>
          <cell r="G7">
            <v>42</v>
          </cell>
          <cell r="H7">
            <v>25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12.5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5.5</v>
          </cell>
          <cell r="N8">
            <v>81.44</v>
          </cell>
          <cell r="O8">
            <v>2.036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50</v>
          </cell>
          <cell r="O9">
            <v>1.25</v>
          </cell>
        </row>
        <row r="10">
          <cell r="B10" t="str">
            <v>Chodavaram</v>
          </cell>
          <cell r="C10">
            <v>5</v>
          </cell>
          <cell r="D10">
            <v>4</v>
          </cell>
          <cell r="E10">
            <v>0</v>
          </cell>
          <cell r="F10">
            <v>0</v>
          </cell>
          <cell r="G10">
            <v>15</v>
          </cell>
          <cell r="H10">
            <v>6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5</v>
          </cell>
          <cell r="N10">
            <v>74.040000000000006</v>
          </cell>
          <cell r="O10">
            <v>1.851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50</v>
          </cell>
          <cell r="O11">
            <v>1.25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10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50</v>
          </cell>
          <cell r="O13">
            <v>1.25</v>
          </cell>
        </row>
        <row r="14">
          <cell r="B14" t="str">
            <v>K.Kotapadu</v>
          </cell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0</v>
          </cell>
          <cell r="H14">
            <v>15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8.5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2</v>
          </cell>
          <cell r="D15">
            <v>2</v>
          </cell>
          <cell r="E15">
            <v>0</v>
          </cell>
          <cell r="F15">
            <v>0</v>
          </cell>
          <cell r="G15">
            <v>12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7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50</v>
          </cell>
          <cell r="O16">
            <v>1.25</v>
          </cell>
        </row>
        <row r="17">
          <cell r="B17" t="str">
            <v>Kothakota</v>
          </cell>
          <cell r="C17">
            <v>2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1.5</v>
          </cell>
          <cell r="N17">
            <v>22.21</v>
          </cell>
          <cell r="O17">
            <v>0.55525000000000002</v>
          </cell>
        </row>
        <row r="18">
          <cell r="B18" t="str">
            <v>Mahila UPS, Anakapalli</v>
          </cell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11</v>
          </cell>
          <cell r="H18">
            <v>12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12.5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3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>Munagapaka</v>
          </cell>
          <cell r="C20">
            <v>3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0.66666666666666696</v>
          </cell>
          <cell r="N20">
            <v>9.8699999999999992</v>
          </cell>
          <cell r="O20">
            <v>0.24675</v>
          </cell>
        </row>
        <row r="21">
          <cell r="B21" t="str">
            <v>Nakkapalli</v>
          </cell>
          <cell r="C21">
            <v>7</v>
          </cell>
          <cell r="D21">
            <v>7</v>
          </cell>
          <cell r="E21">
            <v>0</v>
          </cell>
          <cell r="F21">
            <v>0</v>
          </cell>
          <cell r="G21">
            <v>35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6</v>
          </cell>
          <cell r="N21">
            <v>88.84</v>
          </cell>
          <cell r="O21">
            <v>2.2210000000000001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0</v>
          </cell>
          <cell r="F22">
            <v>0</v>
          </cell>
          <cell r="G22">
            <v>1</v>
          </cell>
          <cell r="H22">
            <v>3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5</v>
          </cell>
          <cell r="N22">
            <v>74.040000000000006</v>
          </cell>
          <cell r="O22">
            <v>1.851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50</v>
          </cell>
          <cell r="O23">
            <v>1.25</v>
          </cell>
        </row>
        <row r="24">
          <cell r="B24" t="str">
            <v>Nathavaram</v>
          </cell>
          <cell r="C24">
            <v>4</v>
          </cell>
          <cell r="D24">
            <v>4</v>
          </cell>
          <cell r="E24">
            <v>0</v>
          </cell>
          <cell r="F24">
            <v>0</v>
          </cell>
          <cell r="G24">
            <v>12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</v>
          </cell>
          <cell r="M24">
            <v>5</v>
          </cell>
          <cell r="N24">
            <v>74.040000000000006</v>
          </cell>
          <cell r="O24">
            <v>1.851</v>
          </cell>
        </row>
        <row r="25">
          <cell r="B25" t="str">
            <v>Parawada</v>
          </cell>
          <cell r="C25">
            <v>6</v>
          </cell>
          <cell r="D25">
            <v>1</v>
          </cell>
          <cell r="E25">
            <v>0</v>
          </cell>
          <cell r="F25">
            <v>0</v>
          </cell>
          <cell r="G25">
            <v>39</v>
          </cell>
          <cell r="H25">
            <v>6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7.6666666666666696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24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2</v>
          </cell>
          <cell r="M26">
            <v>10.6666666666667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3</v>
          </cell>
          <cell r="D27">
            <v>2</v>
          </cell>
          <cell r="E27">
            <v>0</v>
          </cell>
          <cell r="F27">
            <v>1</v>
          </cell>
          <cell r="G27">
            <v>3</v>
          </cell>
          <cell r="H27">
            <v>3</v>
          </cell>
          <cell r="I27">
            <v>0</v>
          </cell>
          <cell r="J27">
            <v>0</v>
          </cell>
          <cell r="K27">
            <v>0</v>
          </cell>
          <cell r="L27">
            <v>4</v>
          </cell>
          <cell r="M27">
            <v>4.3333333333333304</v>
          </cell>
          <cell r="N27">
            <v>64.16</v>
          </cell>
          <cell r="O27">
            <v>1.6040000000000001</v>
          </cell>
        </row>
        <row r="28">
          <cell r="B28" t="str">
            <v>Ravikamatham</v>
          </cell>
          <cell r="C28">
            <v>1</v>
          </cell>
          <cell r="D28">
            <v>1</v>
          </cell>
          <cell r="E28">
            <v>0</v>
          </cell>
          <cell r="F28">
            <v>0</v>
          </cell>
          <cell r="G28">
            <v>1</v>
          </cell>
          <cell r="H28">
            <v>2</v>
          </cell>
          <cell r="I28">
            <v>0</v>
          </cell>
          <cell r="J28">
            <v>0</v>
          </cell>
          <cell r="K28">
            <v>0</v>
          </cell>
          <cell r="L28">
            <v>1</v>
          </cell>
          <cell r="M28">
            <v>5</v>
          </cell>
          <cell r="N28">
            <v>74.040000000000006</v>
          </cell>
          <cell r="O28">
            <v>1.851</v>
          </cell>
        </row>
        <row r="29">
          <cell r="B29" t="str">
            <v>Rolugunta</v>
          </cell>
          <cell r="C29">
            <v>3</v>
          </cell>
          <cell r="D29">
            <v>3</v>
          </cell>
          <cell r="E29">
            <v>0</v>
          </cell>
          <cell r="F29">
            <v>0</v>
          </cell>
          <cell r="G29">
            <v>5</v>
          </cell>
          <cell r="H29">
            <v>14</v>
          </cell>
          <cell r="I29">
            <v>0</v>
          </cell>
          <cell r="J29">
            <v>0</v>
          </cell>
          <cell r="K29">
            <v>0</v>
          </cell>
          <cell r="L29">
            <v>12</v>
          </cell>
          <cell r="M29">
            <v>11.3333333333333</v>
          </cell>
          <cell r="N29">
            <v>100</v>
          </cell>
          <cell r="O29">
            <v>2.5</v>
          </cell>
        </row>
        <row r="30">
          <cell r="B30" t="str">
            <v>S.Rayavaram</v>
          </cell>
          <cell r="C30">
            <v>3</v>
          </cell>
          <cell r="D30">
            <v>3</v>
          </cell>
          <cell r="E30">
            <v>0</v>
          </cell>
          <cell r="F30">
            <v>0</v>
          </cell>
          <cell r="G30">
            <v>4</v>
          </cell>
          <cell r="H30">
            <v>5</v>
          </cell>
          <cell r="I30">
            <v>0</v>
          </cell>
          <cell r="J30">
            <v>0</v>
          </cell>
          <cell r="K30">
            <v>0</v>
          </cell>
          <cell r="L30">
            <v>4</v>
          </cell>
          <cell r="M30">
            <v>5.3333333333333304</v>
          </cell>
          <cell r="N30">
            <v>78.97</v>
          </cell>
          <cell r="O30">
            <v>1.9742500000000001</v>
          </cell>
        </row>
        <row r="31">
          <cell r="B31" t="str">
            <v>Sabbavaram</v>
          </cell>
          <cell r="C31">
            <v>2</v>
          </cell>
          <cell r="D31">
            <v>2</v>
          </cell>
          <cell r="E31">
            <v>0</v>
          </cell>
          <cell r="F31">
            <v>0</v>
          </cell>
          <cell r="G31">
            <v>6</v>
          </cell>
          <cell r="H31">
            <v>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8.5</v>
          </cell>
          <cell r="N31">
            <v>100</v>
          </cell>
          <cell r="O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</v>
          </cell>
          <cell r="H32">
            <v>3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  <cell r="M32">
            <v>6</v>
          </cell>
          <cell r="N32">
            <v>88.84</v>
          </cell>
          <cell r="O32">
            <v>2.2210000000000001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0</v>
          </cell>
          <cell r="F33">
            <v>0</v>
          </cell>
          <cell r="G33">
            <v>4</v>
          </cell>
          <cell r="H33">
            <v>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10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2</v>
          </cell>
          <cell r="D34">
            <v>2</v>
          </cell>
          <cell r="E34">
            <v>0</v>
          </cell>
          <cell r="F34">
            <v>0</v>
          </cell>
          <cell r="G34">
            <v>2</v>
          </cell>
          <cell r="H34">
            <v>8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6</v>
          </cell>
          <cell r="N34">
            <v>88.84</v>
          </cell>
          <cell r="O34">
            <v>2.2210000000000001</v>
          </cell>
        </row>
        <row r="35">
          <cell r="B35" t="str">
            <v>Yelamanchili Traffic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3</v>
          </cell>
          <cell r="H35">
            <v>3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8</v>
          </cell>
          <cell r="N35">
            <v>100</v>
          </cell>
          <cell r="O35">
            <v>2.5</v>
          </cell>
        </row>
        <row r="36">
          <cell r="C36">
            <v>73</v>
          </cell>
          <cell r="D36">
            <v>56</v>
          </cell>
          <cell r="E36">
            <v>0</v>
          </cell>
          <cell r="F36">
            <v>2</v>
          </cell>
          <cell r="G36">
            <v>251</v>
          </cell>
          <cell r="H36">
            <v>152</v>
          </cell>
          <cell r="I36">
            <v>0</v>
          </cell>
          <cell r="J36">
            <v>0</v>
          </cell>
          <cell r="K36">
            <v>0</v>
          </cell>
          <cell r="L36">
            <v>32</v>
          </cell>
          <cell r="M36">
            <v>6.75342465753425</v>
          </cell>
          <cell r="N36">
            <v>74.321212121212099</v>
          </cell>
          <cell r="O36">
            <v>1.8580303030303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36</v>
          </cell>
          <cell r="D4">
            <v>36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72</v>
          </cell>
          <cell r="D5">
            <v>72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4</v>
          </cell>
          <cell r="D8">
            <v>4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6</v>
          </cell>
          <cell r="D16">
            <v>6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4</v>
          </cell>
          <cell r="D18">
            <v>4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11</v>
          </cell>
          <cell r="D22">
            <v>11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15</v>
          </cell>
          <cell r="D23">
            <v>15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12</v>
          </cell>
          <cell r="D26">
            <v>12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19</v>
          </cell>
          <cell r="D30">
            <v>19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20</v>
          </cell>
          <cell r="D34">
            <v>20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451</v>
          </cell>
          <cell r="D36">
            <v>451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210</v>
          </cell>
          <cell r="D4">
            <v>421</v>
          </cell>
          <cell r="E4">
            <v>239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544</v>
          </cell>
          <cell r="D5">
            <v>469</v>
          </cell>
          <cell r="E5">
            <v>232</v>
          </cell>
          <cell r="F5">
            <v>312</v>
          </cell>
          <cell r="G5">
            <v>42.647058823529399</v>
          </cell>
          <cell r="H5">
            <v>2.1323529411764701</v>
          </cell>
        </row>
        <row r="6">
          <cell r="B6" t="str">
            <v>Anakapalli Town</v>
          </cell>
          <cell r="C6">
            <v>707</v>
          </cell>
          <cell r="D6">
            <v>488</v>
          </cell>
          <cell r="E6">
            <v>266</v>
          </cell>
          <cell r="F6">
            <v>441</v>
          </cell>
          <cell r="G6">
            <v>37.6237623762376</v>
          </cell>
          <cell r="H6">
            <v>1.88118811881188</v>
          </cell>
        </row>
        <row r="7">
          <cell r="B7" t="str">
            <v>Anakapalli Traffic</v>
          </cell>
          <cell r="C7">
            <v>231</v>
          </cell>
          <cell r="D7">
            <v>324</v>
          </cell>
          <cell r="E7">
            <v>123</v>
          </cell>
          <cell r="F7">
            <v>108</v>
          </cell>
          <cell r="G7">
            <v>53.246753246753201</v>
          </cell>
          <cell r="H7">
            <v>2.6623376623376598</v>
          </cell>
        </row>
        <row r="8">
          <cell r="B8" t="str">
            <v>Atchutapuram</v>
          </cell>
          <cell r="C8">
            <v>571</v>
          </cell>
          <cell r="D8">
            <v>356</v>
          </cell>
          <cell r="E8">
            <v>298</v>
          </cell>
          <cell r="F8">
            <v>273</v>
          </cell>
          <cell r="G8">
            <v>52.189141856392297</v>
          </cell>
          <cell r="H8">
            <v>2.6094570928196101</v>
          </cell>
        </row>
        <row r="9">
          <cell r="B9" t="str">
            <v>Butchiyyapeta</v>
          </cell>
          <cell r="C9">
            <v>340</v>
          </cell>
          <cell r="D9">
            <v>366</v>
          </cell>
          <cell r="E9">
            <v>333</v>
          </cell>
          <cell r="F9">
            <v>7</v>
          </cell>
          <cell r="G9">
            <v>97.941176470588204</v>
          </cell>
          <cell r="H9">
            <v>4.8970588235294104</v>
          </cell>
        </row>
        <row r="10">
          <cell r="B10" t="str">
            <v>Cheedikada</v>
          </cell>
          <cell r="C10">
            <v>220</v>
          </cell>
          <cell r="D10">
            <v>264</v>
          </cell>
          <cell r="E10">
            <v>215</v>
          </cell>
          <cell r="F10">
            <v>5</v>
          </cell>
          <cell r="G10">
            <v>97.727272727272705</v>
          </cell>
          <cell r="H10">
            <v>4.8863636363636402</v>
          </cell>
        </row>
        <row r="11">
          <cell r="B11" t="str">
            <v>Chodavaram</v>
          </cell>
          <cell r="C11">
            <v>648</v>
          </cell>
          <cell r="D11">
            <v>565</v>
          </cell>
          <cell r="E11">
            <v>419</v>
          </cell>
          <cell r="F11">
            <v>229</v>
          </cell>
          <cell r="G11">
            <v>64.660493827160494</v>
          </cell>
          <cell r="H11">
            <v>3.2330246913580201</v>
          </cell>
        </row>
        <row r="12">
          <cell r="B12" t="str">
            <v>Devarapalli</v>
          </cell>
          <cell r="C12">
            <v>354</v>
          </cell>
          <cell r="D12">
            <v>357</v>
          </cell>
          <cell r="E12">
            <v>302</v>
          </cell>
          <cell r="F12">
            <v>52</v>
          </cell>
          <cell r="G12">
            <v>85.310734463276802</v>
          </cell>
          <cell r="H12">
            <v>4.2655367231638399</v>
          </cell>
        </row>
        <row r="13">
          <cell r="B13" t="str">
            <v>Golugonda</v>
          </cell>
          <cell r="C13">
            <v>260</v>
          </cell>
          <cell r="D13">
            <v>188</v>
          </cell>
          <cell r="E13">
            <v>156</v>
          </cell>
          <cell r="F13">
            <v>104</v>
          </cell>
          <cell r="G13">
            <v>60</v>
          </cell>
          <cell r="H13">
            <v>3</v>
          </cell>
        </row>
        <row r="14">
          <cell r="B14" t="str">
            <v>K.D.Peta</v>
          </cell>
          <cell r="C14">
            <v>177</v>
          </cell>
          <cell r="D14">
            <v>164</v>
          </cell>
          <cell r="E14">
            <v>153</v>
          </cell>
          <cell r="F14">
            <v>24</v>
          </cell>
          <cell r="G14">
            <v>86.440677966101703</v>
          </cell>
          <cell r="H14">
            <v>4.3220338983050803</v>
          </cell>
        </row>
        <row r="15">
          <cell r="B15" t="str">
            <v>K.Kotapadu</v>
          </cell>
          <cell r="C15">
            <v>228</v>
          </cell>
          <cell r="D15">
            <v>249</v>
          </cell>
          <cell r="E15">
            <v>167</v>
          </cell>
          <cell r="F15">
            <v>61</v>
          </cell>
          <cell r="G15">
            <v>73.245614035087698</v>
          </cell>
          <cell r="H15">
            <v>3.6622807017543901</v>
          </cell>
        </row>
        <row r="16">
          <cell r="B16" t="str">
            <v>Kasimkota</v>
          </cell>
          <cell r="C16">
            <v>650</v>
          </cell>
          <cell r="D16">
            <v>493</v>
          </cell>
          <cell r="E16">
            <v>403</v>
          </cell>
          <cell r="F16">
            <v>247</v>
          </cell>
          <cell r="G16">
            <v>62</v>
          </cell>
          <cell r="H16">
            <v>3.1</v>
          </cell>
        </row>
        <row r="17">
          <cell r="B17" t="str">
            <v>Kotavurtla</v>
          </cell>
          <cell r="C17">
            <v>301</v>
          </cell>
          <cell r="D17">
            <v>340</v>
          </cell>
          <cell r="E17">
            <v>301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Kothakota</v>
          </cell>
          <cell r="C18">
            <v>189</v>
          </cell>
          <cell r="D18">
            <v>115</v>
          </cell>
          <cell r="E18">
            <v>92</v>
          </cell>
          <cell r="F18">
            <v>97</v>
          </cell>
          <cell r="G18">
            <v>48.677248677248699</v>
          </cell>
          <cell r="H18">
            <v>2.43386243386243</v>
          </cell>
        </row>
        <row r="19">
          <cell r="B19" t="str">
            <v>Mahila UPS, Anakapalli</v>
          </cell>
          <cell r="C19">
            <v>139</v>
          </cell>
          <cell r="D19">
            <v>170</v>
          </cell>
          <cell r="E19">
            <v>46</v>
          </cell>
          <cell r="F19">
            <v>93</v>
          </cell>
          <cell r="G19">
            <v>33.093525179856101</v>
          </cell>
          <cell r="H19">
            <v>1.6546762589928099</v>
          </cell>
        </row>
        <row r="20">
          <cell r="B20" t="str">
            <v>Makavarapalem</v>
          </cell>
          <cell r="C20">
            <v>379</v>
          </cell>
          <cell r="D20">
            <v>377</v>
          </cell>
          <cell r="E20">
            <v>283</v>
          </cell>
          <cell r="F20">
            <v>96</v>
          </cell>
          <cell r="G20">
            <v>74.670184696569905</v>
          </cell>
          <cell r="H20">
            <v>3.7335092348284999</v>
          </cell>
        </row>
        <row r="21">
          <cell r="B21" t="str">
            <v>Munagapaka</v>
          </cell>
          <cell r="C21">
            <v>425</v>
          </cell>
          <cell r="D21">
            <v>391</v>
          </cell>
          <cell r="E21">
            <v>224</v>
          </cell>
          <cell r="F21">
            <v>201</v>
          </cell>
          <cell r="G21">
            <v>52.705882352941202</v>
          </cell>
          <cell r="H21">
            <v>2.6352941176470601</v>
          </cell>
        </row>
        <row r="22">
          <cell r="B22" t="str">
            <v>Nakkapalli</v>
          </cell>
          <cell r="C22">
            <v>543</v>
          </cell>
          <cell r="D22">
            <v>699</v>
          </cell>
          <cell r="E22">
            <v>483</v>
          </cell>
          <cell r="F22">
            <v>60</v>
          </cell>
          <cell r="G22">
            <v>88.950276243093896</v>
          </cell>
          <cell r="H22">
            <v>4.4475138121546998</v>
          </cell>
        </row>
        <row r="23">
          <cell r="B23" t="str">
            <v>Narsipatnam Rural</v>
          </cell>
          <cell r="C23">
            <v>221</v>
          </cell>
          <cell r="D23">
            <v>172</v>
          </cell>
          <cell r="E23">
            <v>151</v>
          </cell>
          <cell r="F23">
            <v>70</v>
          </cell>
          <cell r="G23">
            <v>68.325791855203605</v>
          </cell>
          <cell r="H23">
            <v>3.41628959276018</v>
          </cell>
        </row>
        <row r="24">
          <cell r="B24" t="str">
            <v>Narsipatnam Town</v>
          </cell>
          <cell r="C24">
            <v>498</v>
          </cell>
          <cell r="D24">
            <v>262</v>
          </cell>
          <cell r="E24">
            <v>189</v>
          </cell>
          <cell r="F24">
            <v>309</v>
          </cell>
          <cell r="G24">
            <v>37.951807228915698</v>
          </cell>
          <cell r="H24">
            <v>1.8975903614457801</v>
          </cell>
        </row>
        <row r="25">
          <cell r="B25" t="str">
            <v>Nathavaram</v>
          </cell>
          <cell r="C25">
            <v>305</v>
          </cell>
          <cell r="D25">
            <v>132</v>
          </cell>
          <cell r="E25">
            <v>105</v>
          </cell>
          <cell r="F25">
            <v>200</v>
          </cell>
          <cell r="G25">
            <v>34.426229508196698</v>
          </cell>
          <cell r="H25">
            <v>1.72131147540984</v>
          </cell>
        </row>
        <row r="26">
          <cell r="B26" t="str">
            <v>Parawada</v>
          </cell>
          <cell r="C26">
            <v>792</v>
          </cell>
          <cell r="D26">
            <v>471</v>
          </cell>
          <cell r="E26">
            <v>304</v>
          </cell>
          <cell r="F26">
            <v>488</v>
          </cell>
          <cell r="G26">
            <v>38.383838383838402</v>
          </cell>
          <cell r="H26">
            <v>1.91919191919192</v>
          </cell>
        </row>
        <row r="27">
          <cell r="B27" t="str">
            <v>Payakaraopeta</v>
          </cell>
          <cell r="C27">
            <v>756</v>
          </cell>
          <cell r="D27">
            <v>556</v>
          </cell>
          <cell r="E27">
            <v>467</v>
          </cell>
          <cell r="F27">
            <v>289</v>
          </cell>
          <cell r="G27">
            <v>61.772486772486801</v>
          </cell>
          <cell r="H27">
            <v>3.0886243386243399</v>
          </cell>
        </row>
        <row r="28">
          <cell r="B28" t="str">
            <v>Rambilli</v>
          </cell>
          <cell r="C28">
            <v>398</v>
          </cell>
          <cell r="D28">
            <v>310</v>
          </cell>
          <cell r="E28">
            <v>224</v>
          </cell>
          <cell r="F28">
            <v>174</v>
          </cell>
          <cell r="G28">
            <v>56.281407035175903</v>
          </cell>
          <cell r="H28">
            <v>2.8140703517587902</v>
          </cell>
        </row>
        <row r="29">
          <cell r="B29" t="str">
            <v>Ravikamatham</v>
          </cell>
          <cell r="C29">
            <v>217</v>
          </cell>
          <cell r="D29">
            <v>241</v>
          </cell>
          <cell r="E29">
            <v>201</v>
          </cell>
          <cell r="F29">
            <v>16</v>
          </cell>
          <cell r="G29">
            <v>92.626728110599103</v>
          </cell>
          <cell r="H29">
            <v>4.6313364055299502</v>
          </cell>
        </row>
        <row r="30">
          <cell r="B30" t="str">
            <v>Rolugunta</v>
          </cell>
          <cell r="C30">
            <v>229</v>
          </cell>
          <cell r="D30">
            <v>148</v>
          </cell>
          <cell r="E30">
            <v>101</v>
          </cell>
          <cell r="F30">
            <v>128</v>
          </cell>
          <cell r="G30">
            <v>44.104803493449801</v>
          </cell>
          <cell r="H30">
            <v>2.2052401746724901</v>
          </cell>
        </row>
        <row r="31">
          <cell r="B31" t="str">
            <v>S.Rayavaram</v>
          </cell>
          <cell r="C31">
            <v>464</v>
          </cell>
          <cell r="D31">
            <v>364</v>
          </cell>
          <cell r="E31">
            <v>303</v>
          </cell>
          <cell r="F31">
            <v>161</v>
          </cell>
          <cell r="G31">
            <v>65.301724137931004</v>
          </cell>
          <cell r="H31">
            <v>3.2650862068965498</v>
          </cell>
        </row>
        <row r="32">
          <cell r="B32" t="str">
            <v>Sabbavaram</v>
          </cell>
          <cell r="C32">
            <v>531</v>
          </cell>
          <cell r="D32">
            <v>294</v>
          </cell>
          <cell r="E32">
            <v>235</v>
          </cell>
          <cell r="F32">
            <v>296</v>
          </cell>
          <cell r="G32">
            <v>44.256120527306997</v>
          </cell>
          <cell r="H32">
            <v>2.21280602636535</v>
          </cell>
        </row>
        <row r="33">
          <cell r="B33" t="str">
            <v>V.Madugula</v>
          </cell>
          <cell r="C33">
            <v>322</v>
          </cell>
          <cell r="D33">
            <v>491</v>
          </cell>
          <cell r="E33">
            <v>198</v>
          </cell>
          <cell r="F33">
            <v>124</v>
          </cell>
          <cell r="G33">
            <v>61.490683229813698</v>
          </cell>
          <cell r="H33">
            <v>3.0745341614906798</v>
          </cell>
        </row>
        <row r="34">
          <cell r="B34" t="str">
            <v>Yelamanchili Rural</v>
          </cell>
          <cell r="C34">
            <v>338</v>
          </cell>
          <cell r="D34">
            <v>336</v>
          </cell>
          <cell r="E34">
            <v>312</v>
          </cell>
          <cell r="F34">
            <v>26</v>
          </cell>
          <cell r="G34">
            <v>92.307692307692307</v>
          </cell>
          <cell r="H34">
            <v>4.6153846153846203</v>
          </cell>
        </row>
        <row r="35">
          <cell r="B35" t="str">
            <v>Yelamanchili Town</v>
          </cell>
          <cell r="C35">
            <v>252</v>
          </cell>
          <cell r="D35">
            <v>298</v>
          </cell>
          <cell r="E35">
            <v>204</v>
          </cell>
          <cell r="F35">
            <v>48</v>
          </cell>
          <cell r="G35">
            <v>80.952380952380906</v>
          </cell>
          <cell r="H35">
            <v>4.0476190476190501</v>
          </cell>
        </row>
        <row r="36">
          <cell r="B36" t="str">
            <v>Yelamanchili Traffic</v>
          </cell>
          <cell r="C36">
            <v>45</v>
          </cell>
          <cell r="D36">
            <v>47</v>
          </cell>
          <cell r="E36">
            <v>38</v>
          </cell>
          <cell r="F36">
            <v>7</v>
          </cell>
          <cell r="G36">
            <v>84.4444444444444</v>
          </cell>
          <cell r="H36">
            <v>4.2222222222222197</v>
          </cell>
        </row>
        <row r="37">
          <cell r="C37">
            <v>12484</v>
          </cell>
          <cell r="D37">
            <v>10918</v>
          </cell>
          <cell r="E37">
            <v>7767</v>
          </cell>
          <cell r="F37">
            <v>4746</v>
          </cell>
          <cell r="G37">
            <v>65.871392149380199</v>
          </cell>
          <cell r="H37">
            <v>3.29356960746901</v>
          </cell>
        </row>
      </sheetData>
      <sheetData sheetId="10">
        <row r="2">
          <cell r="B2" t="str">
            <v>PS Name</v>
          </cell>
          <cell r="C2" t="str">
            <v xml:space="preserve">Total FIRS 
Registered </v>
          </cell>
          <cell r="D2" t="str">
            <v>Total no. of Alerts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C3">
            <v>0</v>
          </cell>
          <cell r="D3">
            <v>2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C4">
            <v>4</v>
          </cell>
          <cell r="D4">
            <v>16</v>
          </cell>
          <cell r="E4">
            <v>100</v>
          </cell>
          <cell r="F4">
            <v>5</v>
          </cell>
        </row>
        <row r="5">
          <cell r="B5" t="str">
            <v>Anakapalli Town</v>
          </cell>
          <cell r="C5">
            <v>1</v>
          </cell>
          <cell r="D5">
            <v>5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C6">
            <v>4</v>
          </cell>
          <cell r="D6">
            <v>4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C7">
            <v>9</v>
          </cell>
          <cell r="D7">
            <v>9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C8">
            <v>3</v>
          </cell>
          <cell r="D8">
            <v>28</v>
          </cell>
          <cell r="E8">
            <v>100</v>
          </cell>
          <cell r="F8">
            <v>5</v>
          </cell>
        </row>
        <row r="9">
          <cell r="B9" t="str">
            <v>Cheedikada</v>
          </cell>
          <cell r="C9">
            <v>2</v>
          </cell>
          <cell r="D9">
            <v>25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C10">
            <v>3</v>
          </cell>
          <cell r="D10">
            <v>13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C11">
            <v>0</v>
          </cell>
          <cell r="D11">
            <v>26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C12">
            <v>2</v>
          </cell>
          <cell r="D12">
            <v>16</v>
          </cell>
          <cell r="E12">
            <v>100</v>
          </cell>
          <cell r="F12">
            <v>5</v>
          </cell>
        </row>
        <row r="13">
          <cell r="B13" t="str">
            <v>K.D.Peta</v>
          </cell>
          <cell r="C13">
            <v>1</v>
          </cell>
          <cell r="D13">
            <v>11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C14">
            <v>3</v>
          </cell>
          <cell r="D14">
            <v>33</v>
          </cell>
          <cell r="E14">
            <v>100</v>
          </cell>
          <cell r="F14">
            <v>5</v>
          </cell>
        </row>
        <row r="15">
          <cell r="B15" t="str">
            <v>Kasimkota</v>
          </cell>
          <cell r="C15">
            <v>4</v>
          </cell>
          <cell r="D15">
            <v>30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C16">
            <v>1</v>
          </cell>
          <cell r="D16">
            <v>28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C17">
            <v>0</v>
          </cell>
          <cell r="D17">
            <v>33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C18">
            <v>2</v>
          </cell>
          <cell r="D18">
            <v>2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C19">
            <v>2</v>
          </cell>
          <cell r="D19">
            <v>2</v>
          </cell>
          <cell r="E19">
            <v>100</v>
          </cell>
          <cell r="F19">
            <v>5</v>
          </cell>
        </row>
        <row r="20">
          <cell r="B20" t="str">
            <v>Munagapaka</v>
          </cell>
          <cell r="C20">
            <v>2</v>
          </cell>
          <cell r="D20">
            <v>6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C21">
            <v>9</v>
          </cell>
          <cell r="D21">
            <v>13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C22">
            <v>3</v>
          </cell>
          <cell r="D22">
            <v>3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C23">
            <v>4</v>
          </cell>
          <cell r="D23">
            <v>13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C24">
            <v>1</v>
          </cell>
          <cell r="D24">
            <v>4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C25">
            <v>6</v>
          </cell>
          <cell r="D25">
            <v>45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C26">
            <v>4</v>
          </cell>
          <cell r="D26">
            <v>7</v>
          </cell>
          <cell r="E26">
            <v>100</v>
          </cell>
          <cell r="F26">
            <v>5</v>
          </cell>
        </row>
        <row r="27">
          <cell r="B27" t="str">
            <v>Rambilli</v>
          </cell>
          <cell r="C27">
            <v>3</v>
          </cell>
          <cell r="D27">
            <v>4</v>
          </cell>
          <cell r="E27">
            <v>100</v>
          </cell>
          <cell r="F27">
            <v>5</v>
          </cell>
        </row>
        <row r="28">
          <cell r="B28" t="str">
            <v>Ravikamatham</v>
          </cell>
          <cell r="C28">
            <v>0</v>
          </cell>
          <cell r="D28">
            <v>7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C29">
            <v>2</v>
          </cell>
          <cell r="D29">
            <v>2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C30">
            <v>1</v>
          </cell>
          <cell r="D30">
            <v>2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C31">
            <v>4</v>
          </cell>
          <cell r="D31">
            <v>16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C32">
            <v>2</v>
          </cell>
          <cell r="D32">
            <v>22</v>
          </cell>
          <cell r="E32">
            <v>100</v>
          </cell>
          <cell r="F32">
            <v>5</v>
          </cell>
        </row>
        <row r="33">
          <cell r="B33" t="str">
            <v>Yelamanchili Rural</v>
          </cell>
          <cell r="C33">
            <v>1</v>
          </cell>
          <cell r="D33">
            <v>84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C34">
            <v>2</v>
          </cell>
          <cell r="D34">
            <v>10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C35">
            <v>2</v>
          </cell>
          <cell r="D35">
            <v>2</v>
          </cell>
          <cell r="E35">
            <v>100</v>
          </cell>
          <cell r="F35">
            <v>5</v>
          </cell>
        </row>
        <row r="36">
          <cell r="C36">
            <v>87</v>
          </cell>
          <cell r="D36">
            <v>523</v>
          </cell>
          <cell r="E36">
            <v>100</v>
          </cell>
          <cell r="F36">
            <v>5</v>
          </cell>
        </row>
      </sheetData>
      <sheetData sheetId="11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H3">
            <v>0</v>
          </cell>
          <cell r="I3">
            <v>0</v>
          </cell>
          <cell r="J3" t="e">
            <v>#DIV/0!</v>
          </cell>
          <cell r="K3">
            <v>50</v>
          </cell>
          <cell r="L3">
            <v>2.5</v>
          </cell>
        </row>
        <row r="4">
          <cell r="B4" t="str">
            <v>Anakapalli Rural</v>
          </cell>
          <cell r="H4">
            <v>0</v>
          </cell>
          <cell r="I4">
            <v>0</v>
          </cell>
          <cell r="J4" t="e">
            <v>#DIV/0!</v>
          </cell>
          <cell r="K4">
            <v>50</v>
          </cell>
          <cell r="L4">
            <v>2.5</v>
          </cell>
        </row>
        <row r="5">
          <cell r="B5" t="str">
            <v>Anakapalli Town</v>
          </cell>
          <cell r="H5">
            <v>0</v>
          </cell>
          <cell r="I5">
            <v>0</v>
          </cell>
          <cell r="J5" t="e">
            <v>#DIV/0!</v>
          </cell>
          <cell r="K5">
            <v>50</v>
          </cell>
          <cell r="L5">
            <v>2.5</v>
          </cell>
        </row>
        <row r="6">
          <cell r="B6" t="str">
            <v>Anakapalli Traffic</v>
          </cell>
          <cell r="H6">
            <v>0</v>
          </cell>
          <cell r="I6">
            <v>0</v>
          </cell>
          <cell r="J6" t="e">
            <v>#DIV/0!</v>
          </cell>
          <cell r="K6">
            <v>50</v>
          </cell>
          <cell r="L6">
            <v>2.5</v>
          </cell>
        </row>
        <row r="7">
          <cell r="B7" t="str">
            <v>Atchutapuram</v>
          </cell>
          <cell r="H7">
            <v>0</v>
          </cell>
          <cell r="I7">
            <v>0</v>
          </cell>
          <cell r="J7" t="e">
            <v>#DIV/0!</v>
          </cell>
          <cell r="K7">
            <v>50</v>
          </cell>
          <cell r="L7">
            <v>2.5</v>
          </cell>
        </row>
        <row r="8">
          <cell r="B8" t="str">
            <v>Butchiyyapeta</v>
          </cell>
          <cell r="H8">
            <v>0</v>
          </cell>
          <cell r="I8">
            <v>0</v>
          </cell>
          <cell r="J8" t="e">
            <v>#DIV/0!</v>
          </cell>
          <cell r="K8">
            <v>50</v>
          </cell>
          <cell r="L8">
            <v>2.5</v>
          </cell>
        </row>
        <row r="9">
          <cell r="B9" t="str">
            <v>Cheedikada</v>
          </cell>
          <cell r="H9">
            <v>0</v>
          </cell>
          <cell r="I9">
            <v>0</v>
          </cell>
          <cell r="J9" t="e">
            <v>#DIV/0!</v>
          </cell>
          <cell r="K9">
            <v>50</v>
          </cell>
          <cell r="L9">
            <v>2.5</v>
          </cell>
        </row>
        <row r="10">
          <cell r="B10" t="str">
            <v>Chodavaram</v>
          </cell>
          <cell r="H10">
            <v>0</v>
          </cell>
          <cell r="I10">
            <v>0</v>
          </cell>
          <cell r="J10" t="e">
            <v>#DIV/0!</v>
          </cell>
          <cell r="K10">
            <v>50</v>
          </cell>
          <cell r="L10">
            <v>2.5</v>
          </cell>
        </row>
        <row r="11">
          <cell r="B11" t="str">
            <v>Devarapalli</v>
          </cell>
          <cell r="H11">
            <v>0</v>
          </cell>
          <cell r="I11">
            <v>0</v>
          </cell>
          <cell r="J11" t="e">
            <v>#DIV/0!</v>
          </cell>
          <cell r="K11">
            <v>50</v>
          </cell>
          <cell r="L11">
            <v>2.5</v>
          </cell>
        </row>
        <row r="12">
          <cell r="B12" t="str">
            <v>Golugonda</v>
          </cell>
          <cell r="H12">
            <v>0</v>
          </cell>
          <cell r="I12">
            <v>0</v>
          </cell>
          <cell r="J12" t="e">
            <v>#DIV/0!</v>
          </cell>
          <cell r="K12">
            <v>50</v>
          </cell>
          <cell r="L12">
            <v>2.5</v>
          </cell>
        </row>
        <row r="13">
          <cell r="B13" t="str">
            <v>K.D.Peta</v>
          </cell>
          <cell r="H13">
            <v>0</v>
          </cell>
          <cell r="I13">
            <v>0</v>
          </cell>
          <cell r="J13" t="e">
            <v>#DIV/0!</v>
          </cell>
          <cell r="K13">
            <v>50</v>
          </cell>
          <cell r="L13">
            <v>2.5</v>
          </cell>
        </row>
        <row r="14">
          <cell r="B14" t="str">
            <v>K.Kotapadu</v>
          </cell>
          <cell r="H14">
            <v>0</v>
          </cell>
          <cell r="I14">
            <v>0</v>
          </cell>
          <cell r="J14" t="e">
            <v>#DIV/0!</v>
          </cell>
          <cell r="K14">
            <v>50</v>
          </cell>
          <cell r="L14">
            <v>2.5</v>
          </cell>
        </row>
        <row r="15">
          <cell r="B15" t="str">
            <v>Kasimkota</v>
          </cell>
          <cell r="H15">
            <v>0</v>
          </cell>
          <cell r="I15">
            <v>0</v>
          </cell>
          <cell r="J15" t="e">
            <v>#DIV/0!</v>
          </cell>
          <cell r="K15">
            <v>50</v>
          </cell>
          <cell r="L15">
            <v>2.5</v>
          </cell>
        </row>
        <row r="16">
          <cell r="B16" t="str">
            <v>Kotavurtla</v>
          </cell>
          <cell r="H16">
            <v>0</v>
          </cell>
          <cell r="I16">
            <v>0</v>
          </cell>
          <cell r="J16" t="e">
            <v>#DIV/0!</v>
          </cell>
          <cell r="K16">
            <v>50</v>
          </cell>
          <cell r="L16">
            <v>2.5</v>
          </cell>
        </row>
        <row r="17">
          <cell r="B17" t="str">
            <v>Kothakota</v>
          </cell>
          <cell r="H17">
            <v>0</v>
          </cell>
          <cell r="I17">
            <v>0</v>
          </cell>
          <cell r="J17" t="e">
            <v>#DIV/0!</v>
          </cell>
          <cell r="K17">
            <v>50</v>
          </cell>
          <cell r="L17">
            <v>2.5</v>
          </cell>
        </row>
        <row r="18">
          <cell r="B18" t="str">
            <v>Mahila UPS, Anakapalli</v>
          </cell>
          <cell r="H18">
            <v>0</v>
          </cell>
          <cell r="I18">
            <v>0</v>
          </cell>
          <cell r="J18" t="e">
            <v>#DIV/0!</v>
          </cell>
          <cell r="K18">
            <v>50</v>
          </cell>
          <cell r="L18">
            <v>2.5</v>
          </cell>
        </row>
        <row r="19">
          <cell r="B19" t="str">
            <v>Makavarapalem</v>
          </cell>
          <cell r="H19">
            <v>0</v>
          </cell>
          <cell r="I19">
            <v>0</v>
          </cell>
          <cell r="J19" t="e">
            <v>#DIV/0!</v>
          </cell>
          <cell r="K19">
            <v>50</v>
          </cell>
          <cell r="L19">
            <v>2.5</v>
          </cell>
        </row>
        <row r="20">
          <cell r="B20" t="str">
            <v>Munagapaka</v>
          </cell>
          <cell r="H20">
            <v>0</v>
          </cell>
          <cell r="I20">
            <v>0</v>
          </cell>
          <cell r="J20" t="e">
            <v>#DIV/0!</v>
          </cell>
          <cell r="K20">
            <v>50</v>
          </cell>
          <cell r="L20">
            <v>2.5</v>
          </cell>
        </row>
        <row r="21">
          <cell r="B21" t="str">
            <v>Nakkapalli</v>
          </cell>
          <cell r="H21">
            <v>0</v>
          </cell>
          <cell r="I21">
            <v>0</v>
          </cell>
          <cell r="J21" t="e">
            <v>#DIV/0!</v>
          </cell>
          <cell r="K21">
            <v>50</v>
          </cell>
          <cell r="L21">
            <v>2.5</v>
          </cell>
        </row>
        <row r="22">
          <cell r="B22" t="str">
            <v>Narsipatnam Rural</v>
          </cell>
          <cell r="H22">
            <v>0</v>
          </cell>
          <cell r="I22">
            <v>0</v>
          </cell>
          <cell r="J22" t="e">
            <v>#DIV/0!</v>
          </cell>
          <cell r="K22">
            <v>50</v>
          </cell>
          <cell r="L22">
            <v>2.5</v>
          </cell>
        </row>
        <row r="23">
          <cell r="B23" t="str">
            <v>Narsipatnam Town</v>
          </cell>
          <cell r="H23">
            <v>0</v>
          </cell>
          <cell r="I23">
            <v>0</v>
          </cell>
          <cell r="J23" t="e">
            <v>#DIV/0!</v>
          </cell>
          <cell r="K23">
            <v>50</v>
          </cell>
          <cell r="L23">
            <v>2.5</v>
          </cell>
        </row>
        <row r="24">
          <cell r="B24" t="str">
            <v>Nathavaram</v>
          </cell>
          <cell r="H24">
            <v>0</v>
          </cell>
          <cell r="I24">
            <v>0</v>
          </cell>
          <cell r="J24" t="e">
            <v>#DIV/0!</v>
          </cell>
          <cell r="K24">
            <v>50</v>
          </cell>
          <cell r="L24">
            <v>2.5</v>
          </cell>
        </row>
        <row r="25">
          <cell r="B25" t="str">
            <v>Parawada</v>
          </cell>
          <cell r="H25">
            <v>0</v>
          </cell>
          <cell r="I25">
            <v>0</v>
          </cell>
          <cell r="J25" t="e">
            <v>#DIV/0!</v>
          </cell>
          <cell r="K25">
            <v>50</v>
          </cell>
          <cell r="L25">
            <v>2.5</v>
          </cell>
        </row>
        <row r="26">
          <cell r="B26" t="str">
            <v>Payakaraopeta</v>
          </cell>
          <cell r="H26">
            <v>0</v>
          </cell>
          <cell r="I26">
            <v>0</v>
          </cell>
          <cell r="J26" t="e">
            <v>#DIV/0!</v>
          </cell>
          <cell r="K26">
            <v>50</v>
          </cell>
          <cell r="L26">
            <v>2.5</v>
          </cell>
        </row>
        <row r="27">
          <cell r="B27" t="str">
            <v>Rambilli</v>
          </cell>
          <cell r="H27">
            <v>0</v>
          </cell>
          <cell r="I27">
            <v>0</v>
          </cell>
          <cell r="J27" t="e">
            <v>#DIV/0!</v>
          </cell>
          <cell r="K27">
            <v>50</v>
          </cell>
          <cell r="L27">
            <v>2.5</v>
          </cell>
        </row>
        <row r="28">
          <cell r="B28" t="str">
            <v>Ravikamatham</v>
          </cell>
          <cell r="H28">
            <v>0</v>
          </cell>
          <cell r="I28">
            <v>0</v>
          </cell>
          <cell r="J28" t="e">
            <v>#DIV/0!</v>
          </cell>
          <cell r="K28">
            <v>50</v>
          </cell>
          <cell r="L28">
            <v>2.5</v>
          </cell>
        </row>
        <row r="29">
          <cell r="B29" t="str">
            <v>Rolugunta</v>
          </cell>
          <cell r="H29">
            <v>0</v>
          </cell>
          <cell r="I29">
            <v>0</v>
          </cell>
          <cell r="J29" t="e">
            <v>#DIV/0!</v>
          </cell>
          <cell r="K29">
            <v>50</v>
          </cell>
          <cell r="L29">
            <v>2.5</v>
          </cell>
        </row>
        <row r="30">
          <cell r="B30" t="str">
            <v>S.Rayavaram</v>
          </cell>
          <cell r="H30">
            <v>0</v>
          </cell>
          <cell r="I30">
            <v>0</v>
          </cell>
          <cell r="J30" t="e">
            <v>#DIV/0!</v>
          </cell>
          <cell r="K30">
            <v>50</v>
          </cell>
          <cell r="L30">
            <v>2.5</v>
          </cell>
        </row>
        <row r="31">
          <cell r="B31" t="str">
            <v>Sabbavaram</v>
          </cell>
          <cell r="H31">
            <v>0</v>
          </cell>
          <cell r="I31">
            <v>0</v>
          </cell>
          <cell r="J31" t="e">
            <v>#DIV/0!</v>
          </cell>
          <cell r="K31">
            <v>50</v>
          </cell>
          <cell r="L31">
            <v>2.5</v>
          </cell>
        </row>
        <row r="32">
          <cell r="B32" t="str">
            <v>V.Madugula</v>
          </cell>
          <cell r="H32">
            <v>0</v>
          </cell>
          <cell r="I32">
            <v>0</v>
          </cell>
          <cell r="J32" t="e">
            <v>#DIV/0!</v>
          </cell>
          <cell r="K32">
            <v>50</v>
          </cell>
          <cell r="L32">
            <v>2.5</v>
          </cell>
        </row>
        <row r="33">
          <cell r="B33" t="str">
            <v>Yelamanchili Rural</v>
          </cell>
          <cell r="H33">
            <v>0</v>
          </cell>
          <cell r="I33">
            <v>0</v>
          </cell>
          <cell r="J33" t="e">
            <v>#DIV/0!</v>
          </cell>
          <cell r="K33">
            <v>50</v>
          </cell>
          <cell r="L33">
            <v>2.5</v>
          </cell>
        </row>
        <row r="34">
          <cell r="B34" t="str">
            <v>Yelamanchili Town</v>
          </cell>
          <cell r="H34">
            <v>0</v>
          </cell>
          <cell r="I34">
            <v>0</v>
          </cell>
          <cell r="J34" t="e">
            <v>#DIV/0!</v>
          </cell>
          <cell r="K34">
            <v>50</v>
          </cell>
          <cell r="L34">
            <v>2.5</v>
          </cell>
        </row>
        <row r="35">
          <cell r="B35" t="str">
            <v>Yelamanchili Traffic</v>
          </cell>
          <cell r="H35">
            <v>0</v>
          </cell>
          <cell r="I35">
            <v>0</v>
          </cell>
          <cell r="J35" t="e">
            <v>#DIV/0!</v>
          </cell>
          <cell r="K35">
            <v>50</v>
          </cell>
          <cell r="L35">
            <v>2.5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>
            <v>50</v>
          </cell>
          <cell r="L36">
            <v>2.5</v>
          </cell>
        </row>
      </sheetData>
      <sheetData sheetId="12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C4">
            <v>0</v>
          </cell>
          <cell r="D4">
            <v>0</v>
          </cell>
          <cell r="E4">
            <v>100</v>
          </cell>
          <cell r="F4">
            <v>5</v>
          </cell>
        </row>
        <row r="5">
          <cell r="B5" t="str">
            <v>Anakapalli Rural</v>
          </cell>
          <cell r="C5">
            <v>6</v>
          </cell>
          <cell r="D5">
            <v>1</v>
          </cell>
          <cell r="E5">
            <v>16.6666666666667</v>
          </cell>
          <cell r="F5">
            <v>0.83333333333333304</v>
          </cell>
        </row>
        <row r="6">
          <cell r="B6" t="str">
            <v>Anakapalli Town</v>
          </cell>
          <cell r="C6">
            <v>8</v>
          </cell>
          <cell r="D6">
            <v>1</v>
          </cell>
          <cell r="E6">
            <v>12.5</v>
          </cell>
          <cell r="F6">
            <v>0.625</v>
          </cell>
        </row>
        <row r="7">
          <cell r="B7" t="str">
            <v>Anakapalli Traffic</v>
          </cell>
          <cell r="C7">
            <v>2</v>
          </cell>
          <cell r="D7">
            <v>2</v>
          </cell>
          <cell r="E7">
            <v>100</v>
          </cell>
          <cell r="F7">
            <v>5</v>
          </cell>
        </row>
        <row r="8">
          <cell r="B8" t="str">
            <v>Atchutapuram</v>
          </cell>
          <cell r="C8">
            <v>4</v>
          </cell>
          <cell r="D8">
            <v>1</v>
          </cell>
          <cell r="E8">
            <v>25</v>
          </cell>
          <cell r="F8">
            <v>1.25</v>
          </cell>
        </row>
        <row r="9">
          <cell r="B9" t="str">
            <v>Butchiyyapeta</v>
          </cell>
          <cell r="C9">
            <v>2</v>
          </cell>
          <cell r="D9">
            <v>2</v>
          </cell>
          <cell r="E9">
            <v>100</v>
          </cell>
          <cell r="F9">
            <v>5</v>
          </cell>
        </row>
        <row r="10">
          <cell r="B10" t="str">
            <v>Cheedikada</v>
          </cell>
          <cell r="C10">
            <v>1</v>
          </cell>
          <cell r="D10">
            <v>1</v>
          </cell>
          <cell r="E10">
            <v>100</v>
          </cell>
          <cell r="F10">
            <v>5</v>
          </cell>
        </row>
        <row r="11">
          <cell r="B11" t="str">
            <v>Chodavaram</v>
          </cell>
          <cell r="C11">
            <v>6</v>
          </cell>
          <cell r="D11">
            <v>2</v>
          </cell>
          <cell r="E11">
            <v>33.3333333333333</v>
          </cell>
          <cell r="F11">
            <v>1.6666666666666701</v>
          </cell>
        </row>
        <row r="12">
          <cell r="B12" t="str">
            <v>Devarapalli</v>
          </cell>
          <cell r="C12">
            <v>1</v>
          </cell>
          <cell r="D12">
            <v>1</v>
          </cell>
          <cell r="E12">
            <v>100</v>
          </cell>
          <cell r="F12">
            <v>5</v>
          </cell>
        </row>
        <row r="13">
          <cell r="B13" t="str">
            <v>Golugonda</v>
          </cell>
          <cell r="C13">
            <v>3</v>
          </cell>
          <cell r="D13">
            <v>2</v>
          </cell>
          <cell r="E13">
            <v>66.6666666666667</v>
          </cell>
          <cell r="F13">
            <v>3.3333333333333299</v>
          </cell>
        </row>
        <row r="14">
          <cell r="B14" t="str">
            <v>K.D.Peta</v>
          </cell>
          <cell r="C14">
            <v>1</v>
          </cell>
          <cell r="D14">
            <v>1</v>
          </cell>
          <cell r="E14">
            <v>100</v>
          </cell>
          <cell r="F14">
            <v>5</v>
          </cell>
        </row>
        <row r="15">
          <cell r="B15" t="str">
            <v>K.Kotapadu</v>
          </cell>
          <cell r="C15">
            <v>1</v>
          </cell>
          <cell r="D15">
            <v>1</v>
          </cell>
          <cell r="E15">
            <v>100</v>
          </cell>
          <cell r="F15">
            <v>5</v>
          </cell>
        </row>
        <row r="16">
          <cell r="B16" t="str">
            <v>Kasimkota</v>
          </cell>
          <cell r="C16">
            <v>4</v>
          </cell>
          <cell r="D16">
            <v>1</v>
          </cell>
          <cell r="E16">
            <v>25</v>
          </cell>
          <cell r="F16">
            <v>1.25</v>
          </cell>
        </row>
        <row r="17">
          <cell r="B17" t="str">
            <v>Kotavurtla</v>
          </cell>
          <cell r="C17">
            <v>2</v>
          </cell>
          <cell r="D17">
            <v>1</v>
          </cell>
          <cell r="E17">
            <v>50</v>
          </cell>
          <cell r="F17">
            <v>2.5</v>
          </cell>
        </row>
        <row r="18">
          <cell r="B18" t="str">
            <v>Kothakota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Mahila UPS, Anakapalli</v>
          </cell>
          <cell r="C19">
            <v>2</v>
          </cell>
          <cell r="D19">
            <v>1</v>
          </cell>
          <cell r="E19">
            <v>50</v>
          </cell>
          <cell r="F19">
            <v>2.5</v>
          </cell>
        </row>
        <row r="20">
          <cell r="B20" t="str">
            <v>Makavarapalem</v>
          </cell>
          <cell r="C20">
            <v>2</v>
          </cell>
          <cell r="D20">
            <v>1</v>
          </cell>
          <cell r="E20">
            <v>50</v>
          </cell>
          <cell r="F20">
            <v>2.5</v>
          </cell>
        </row>
        <row r="21">
          <cell r="B21" t="str">
            <v>Munagapaka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1</v>
          </cell>
          <cell r="D22">
            <v>1</v>
          </cell>
          <cell r="E22">
            <v>100</v>
          </cell>
          <cell r="F22">
            <v>5</v>
          </cell>
        </row>
        <row r="23">
          <cell r="B23" t="str">
            <v>Narsipatnam Rural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100</v>
          </cell>
          <cell r="F24">
            <v>5</v>
          </cell>
        </row>
        <row r="25">
          <cell r="B25" t="str">
            <v>Nathavaram</v>
          </cell>
          <cell r="C25">
            <v>5</v>
          </cell>
          <cell r="D25">
            <v>1</v>
          </cell>
          <cell r="E25">
            <v>20</v>
          </cell>
          <cell r="F25">
            <v>1</v>
          </cell>
        </row>
        <row r="26">
          <cell r="B26" t="str">
            <v>Parawada</v>
          </cell>
          <cell r="C26">
            <v>5</v>
          </cell>
          <cell r="D26">
            <v>1</v>
          </cell>
          <cell r="E26">
            <v>20</v>
          </cell>
          <cell r="F26">
            <v>1</v>
          </cell>
        </row>
        <row r="27">
          <cell r="B27" t="str">
            <v>Payakaraopeta</v>
          </cell>
          <cell r="C27">
            <v>4</v>
          </cell>
          <cell r="D27">
            <v>1</v>
          </cell>
          <cell r="E27">
            <v>25</v>
          </cell>
          <cell r="F27">
            <v>1.25</v>
          </cell>
        </row>
        <row r="28">
          <cell r="B28" t="str">
            <v>Rambilli</v>
          </cell>
          <cell r="C28">
            <v>2</v>
          </cell>
          <cell r="D28">
            <v>1</v>
          </cell>
          <cell r="E28">
            <v>50</v>
          </cell>
          <cell r="F28">
            <v>2.5</v>
          </cell>
        </row>
        <row r="29">
          <cell r="B29" t="str">
            <v>Ravikamatham</v>
          </cell>
          <cell r="C29">
            <v>1</v>
          </cell>
          <cell r="D29">
            <v>1</v>
          </cell>
          <cell r="E29">
            <v>100</v>
          </cell>
          <cell r="F29">
            <v>5</v>
          </cell>
        </row>
        <row r="30">
          <cell r="B30" t="str">
            <v>Rolugunta</v>
          </cell>
          <cell r="C30">
            <v>3</v>
          </cell>
          <cell r="D30">
            <v>1</v>
          </cell>
          <cell r="E30">
            <v>33.3333333333333</v>
          </cell>
          <cell r="F30">
            <v>1.6666666666666701</v>
          </cell>
        </row>
        <row r="31">
          <cell r="B31" t="str">
            <v>S.Rayavaram</v>
          </cell>
          <cell r="C31">
            <v>4</v>
          </cell>
          <cell r="D31">
            <v>1</v>
          </cell>
          <cell r="E31">
            <v>25</v>
          </cell>
          <cell r="F31">
            <v>1.25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100</v>
          </cell>
          <cell r="F32">
            <v>5</v>
          </cell>
        </row>
        <row r="33">
          <cell r="B33" t="str">
            <v>V.Madugula</v>
          </cell>
          <cell r="C33">
            <v>4</v>
          </cell>
          <cell r="D33">
            <v>1</v>
          </cell>
          <cell r="E33">
            <v>25</v>
          </cell>
          <cell r="F33">
            <v>1.25</v>
          </cell>
        </row>
        <row r="34">
          <cell r="B34" t="str">
            <v>Yelamanchili Rural</v>
          </cell>
          <cell r="C34">
            <v>4</v>
          </cell>
          <cell r="D34">
            <v>4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100</v>
          </cell>
          <cell r="F35">
            <v>5</v>
          </cell>
        </row>
        <row r="36">
          <cell r="B36" t="str">
            <v>Yelamanchili Traffic</v>
          </cell>
          <cell r="C36">
            <v>4</v>
          </cell>
          <cell r="D36">
            <v>4</v>
          </cell>
          <cell r="E36">
            <v>100</v>
          </cell>
          <cell r="F36">
            <v>5</v>
          </cell>
        </row>
      </sheetData>
      <sheetData sheetId="13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107</v>
          </cell>
          <cell r="D3">
            <v>95</v>
          </cell>
          <cell r="E3">
            <v>88.785046728972006</v>
          </cell>
          <cell r="F3">
            <v>2.2196261682243001</v>
          </cell>
          <cell r="G3">
            <v>94</v>
          </cell>
          <cell r="H3">
            <v>62</v>
          </cell>
          <cell r="I3">
            <v>65.957446808510596</v>
          </cell>
          <cell r="J3">
            <v>1.6489361702127701</v>
          </cell>
          <cell r="K3">
            <v>3.8685623384370702</v>
          </cell>
          <cell r="L3">
            <v>77.371246768741301</v>
          </cell>
        </row>
        <row r="4">
          <cell r="B4" t="str">
            <v>Anakapalli Rural</v>
          </cell>
          <cell r="C4">
            <v>313</v>
          </cell>
          <cell r="D4">
            <v>154</v>
          </cell>
          <cell r="E4">
            <v>49.2012779552716</v>
          </cell>
          <cell r="F4">
            <v>1.2300319488817899</v>
          </cell>
          <cell r="G4">
            <v>221</v>
          </cell>
          <cell r="H4">
            <v>209</v>
          </cell>
          <cell r="I4">
            <v>94.570135746606297</v>
          </cell>
          <cell r="J4">
            <v>2.3642533936651602</v>
          </cell>
          <cell r="K4">
            <v>3.5942853425469501</v>
          </cell>
          <cell r="L4">
            <v>71.885706850939002</v>
          </cell>
        </row>
        <row r="5">
          <cell r="B5" t="str">
            <v>Anakapalli Town</v>
          </cell>
          <cell r="C5">
            <v>304</v>
          </cell>
          <cell r="D5">
            <v>148</v>
          </cell>
          <cell r="E5">
            <v>48.684210526315802</v>
          </cell>
          <cell r="F5">
            <v>1.21710526315789</v>
          </cell>
          <cell r="G5">
            <v>199</v>
          </cell>
          <cell r="H5">
            <v>176</v>
          </cell>
          <cell r="I5">
            <v>88.442211055276402</v>
          </cell>
          <cell r="J5">
            <v>2.2110552763819098</v>
          </cell>
          <cell r="K5">
            <v>3.4281605395398</v>
          </cell>
          <cell r="L5">
            <v>68.563210790796106</v>
          </cell>
        </row>
        <row r="6">
          <cell r="B6" t="str">
            <v>Anakapalli Traffic</v>
          </cell>
          <cell r="C6">
            <v>231</v>
          </cell>
          <cell r="D6">
            <v>136</v>
          </cell>
          <cell r="E6">
            <v>58.874458874458902</v>
          </cell>
          <cell r="F6">
            <v>1.47186147186147</v>
          </cell>
          <cell r="G6">
            <v>201</v>
          </cell>
          <cell r="H6">
            <v>185</v>
          </cell>
          <cell r="I6">
            <v>92.039800995024905</v>
          </cell>
          <cell r="J6">
            <v>2.3009950248756201</v>
          </cell>
          <cell r="K6">
            <v>3.7728564967370901</v>
          </cell>
          <cell r="L6">
            <v>75.4571299347419</v>
          </cell>
        </row>
        <row r="7">
          <cell r="B7" t="str">
            <v>Atchutapuram</v>
          </cell>
          <cell r="C7">
            <v>324</v>
          </cell>
          <cell r="D7">
            <v>261</v>
          </cell>
          <cell r="E7">
            <v>80.5555555555556</v>
          </cell>
          <cell r="F7">
            <v>2.0138888888888902</v>
          </cell>
          <cell r="G7">
            <v>245</v>
          </cell>
          <cell r="H7">
            <v>201</v>
          </cell>
          <cell r="I7">
            <v>82.040816326530603</v>
          </cell>
          <cell r="J7">
            <v>2.0510204081632701</v>
          </cell>
          <cell r="K7">
            <v>4.0649092970521501</v>
          </cell>
          <cell r="L7">
            <v>81.298185941043101</v>
          </cell>
        </row>
        <row r="8">
          <cell r="B8" t="str">
            <v>Butchiyyapeta</v>
          </cell>
          <cell r="C8">
            <v>164</v>
          </cell>
          <cell r="D8">
            <v>130</v>
          </cell>
          <cell r="E8">
            <v>79.268292682926798</v>
          </cell>
          <cell r="F8">
            <v>1.98170731707317</v>
          </cell>
          <cell r="G8">
            <v>134</v>
          </cell>
          <cell r="H8">
            <v>119</v>
          </cell>
          <cell r="I8">
            <v>88.805970149253696</v>
          </cell>
          <cell r="J8">
            <v>2.2201492537313401</v>
          </cell>
          <cell r="K8">
            <v>4.2018565708045097</v>
          </cell>
          <cell r="L8">
            <v>84.037131416090304</v>
          </cell>
        </row>
        <row r="9">
          <cell r="B9" t="str">
            <v>Cheedikada</v>
          </cell>
          <cell r="C9">
            <v>102</v>
          </cell>
          <cell r="D9">
            <v>81</v>
          </cell>
          <cell r="E9">
            <v>79.411764705882305</v>
          </cell>
          <cell r="F9">
            <v>1.98529411764706</v>
          </cell>
          <cell r="G9">
            <v>79</v>
          </cell>
          <cell r="H9">
            <v>68</v>
          </cell>
          <cell r="I9">
            <v>86.075949367088597</v>
          </cell>
          <cell r="J9">
            <v>2.15189873417722</v>
          </cell>
          <cell r="K9">
            <v>4.1371928518242704</v>
          </cell>
          <cell r="L9">
            <v>82.743857036485494</v>
          </cell>
        </row>
        <row r="10">
          <cell r="B10" t="str">
            <v>Chodavaram</v>
          </cell>
          <cell r="C10">
            <v>369</v>
          </cell>
          <cell r="D10">
            <v>282</v>
          </cell>
          <cell r="E10">
            <v>76.422764227642304</v>
          </cell>
          <cell r="F10">
            <v>1.9105691056910601</v>
          </cell>
          <cell r="G10">
            <v>248</v>
          </cell>
          <cell r="H10">
            <v>220</v>
          </cell>
          <cell r="I10">
            <v>88.709677419354804</v>
          </cell>
          <cell r="J10">
            <v>2.2177419354838701</v>
          </cell>
          <cell r="K10">
            <v>4.1283110411749302</v>
          </cell>
          <cell r="L10">
            <v>82.566220823498597</v>
          </cell>
        </row>
        <row r="11">
          <cell r="B11" t="str">
            <v>Devarapalli</v>
          </cell>
          <cell r="C11">
            <v>178</v>
          </cell>
          <cell r="D11">
            <v>133</v>
          </cell>
          <cell r="E11">
            <v>74.719101123595493</v>
          </cell>
          <cell r="F11">
            <v>1.86797752808989</v>
          </cell>
          <cell r="G11">
            <v>148</v>
          </cell>
          <cell r="H11">
            <v>119</v>
          </cell>
          <cell r="I11">
            <v>80.405405405405403</v>
          </cell>
          <cell r="J11">
            <v>2.0101351351351302</v>
          </cell>
          <cell r="K11">
            <v>3.87811266322502</v>
          </cell>
          <cell r="L11">
            <v>77.562253264500498</v>
          </cell>
        </row>
        <row r="12">
          <cell r="B12" t="str">
            <v>Golugonda</v>
          </cell>
          <cell r="C12">
            <v>135</v>
          </cell>
          <cell r="D12">
            <v>107</v>
          </cell>
          <cell r="E12">
            <v>79.259259259259295</v>
          </cell>
          <cell r="F12">
            <v>1.9814814814814801</v>
          </cell>
          <cell r="G12">
            <v>113</v>
          </cell>
          <cell r="H12">
            <v>85</v>
          </cell>
          <cell r="I12">
            <v>75.221238938053105</v>
          </cell>
          <cell r="J12">
            <v>1.88053097345133</v>
          </cell>
          <cell r="K12">
            <v>3.8620124549328101</v>
          </cell>
          <cell r="L12">
            <v>77.240249098656193</v>
          </cell>
        </row>
        <row r="13">
          <cell r="B13" t="str">
            <v>K.D.Peta</v>
          </cell>
          <cell r="C13">
            <v>69</v>
          </cell>
          <cell r="D13">
            <v>57</v>
          </cell>
          <cell r="E13">
            <v>82.608695652173907</v>
          </cell>
          <cell r="F13">
            <v>2.0652173913043499</v>
          </cell>
          <cell r="G13">
            <v>59</v>
          </cell>
          <cell r="H13">
            <v>48</v>
          </cell>
          <cell r="I13">
            <v>81.355932203389798</v>
          </cell>
          <cell r="J13">
            <v>2.0338983050847501</v>
          </cell>
          <cell r="K13">
            <v>4.0991156963890898</v>
          </cell>
          <cell r="L13">
            <v>81.982313927781902</v>
          </cell>
        </row>
        <row r="14">
          <cell r="B14" t="str">
            <v>K.Kotapadu</v>
          </cell>
          <cell r="C14">
            <v>115</v>
          </cell>
          <cell r="D14">
            <v>92</v>
          </cell>
          <cell r="E14">
            <v>80</v>
          </cell>
          <cell r="F14">
            <v>2</v>
          </cell>
          <cell r="G14">
            <v>93</v>
          </cell>
          <cell r="H14">
            <v>70</v>
          </cell>
          <cell r="I14">
            <v>75.268817204301101</v>
          </cell>
          <cell r="J14">
            <v>1.8817204301075301</v>
          </cell>
          <cell r="K14">
            <v>3.8817204301075301</v>
          </cell>
          <cell r="L14">
            <v>77.634408602150501</v>
          </cell>
        </row>
        <row r="15">
          <cell r="B15" t="str">
            <v>Kasimkota</v>
          </cell>
          <cell r="C15">
            <v>381</v>
          </cell>
          <cell r="D15">
            <v>217</v>
          </cell>
          <cell r="E15">
            <v>56.955380577427803</v>
          </cell>
          <cell r="F15">
            <v>1.4238845144357</v>
          </cell>
          <cell r="G15">
            <v>307</v>
          </cell>
          <cell r="H15">
            <v>246</v>
          </cell>
          <cell r="I15">
            <v>80.130293159609096</v>
          </cell>
          <cell r="J15">
            <v>2.0032573289902298</v>
          </cell>
          <cell r="K15">
            <v>3.42714184342592</v>
          </cell>
          <cell r="L15">
            <v>68.542836868518506</v>
          </cell>
        </row>
        <row r="16">
          <cell r="B16" t="str">
            <v>Kotavurtla</v>
          </cell>
          <cell r="C16">
            <v>144</v>
          </cell>
          <cell r="D16">
            <v>94</v>
          </cell>
          <cell r="E16">
            <v>65.2777777777778</v>
          </cell>
          <cell r="F16">
            <v>1.63194444444444</v>
          </cell>
          <cell r="G16">
            <v>99</v>
          </cell>
          <cell r="H16">
            <v>83</v>
          </cell>
          <cell r="I16">
            <v>83.838383838383805</v>
          </cell>
          <cell r="J16">
            <v>2.0959595959596</v>
          </cell>
          <cell r="K16">
            <v>3.7279040404040402</v>
          </cell>
          <cell r="L16">
            <v>74.558080808080803</v>
          </cell>
        </row>
        <row r="17">
          <cell r="B17" t="str">
            <v>Kothakota</v>
          </cell>
          <cell r="C17">
            <v>71</v>
          </cell>
          <cell r="D17">
            <v>55</v>
          </cell>
          <cell r="E17">
            <v>77.464788732394396</v>
          </cell>
          <cell r="F17">
            <v>1.9366197183098599</v>
          </cell>
          <cell r="G17">
            <v>58</v>
          </cell>
          <cell r="H17">
            <v>44</v>
          </cell>
          <cell r="I17">
            <v>75.862068965517196</v>
          </cell>
          <cell r="J17">
            <v>1.8965517241379299</v>
          </cell>
          <cell r="K17">
            <v>3.8331714424477901</v>
          </cell>
          <cell r="L17">
            <v>76.663428848955803</v>
          </cell>
        </row>
        <row r="18">
          <cell r="B18" t="str">
            <v>Mahila UPS, Anakapalli</v>
          </cell>
          <cell r="C18">
            <v>137</v>
          </cell>
          <cell r="D18">
            <v>66</v>
          </cell>
          <cell r="E18">
            <v>48.175182481751797</v>
          </cell>
          <cell r="F18">
            <v>1.2043795620438</v>
          </cell>
          <cell r="G18">
            <v>124</v>
          </cell>
          <cell r="H18">
            <v>124</v>
          </cell>
          <cell r="I18">
            <v>100</v>
          </cell>
          <cell r="J18">
            <v>2.5</v>
          </cell>
          <cell r="K18">
            <v>3.7043795620437998</v>
          </cell>
          <cell r="L18">
            <v>74.087591240875895</v>
          </cell>
        </row>
        <row r="19">
          <cell r="B19" t="str">
            <v>Makavarapalem</v>
          </cell>
          <cell r="C19">
            <v>182</v>
          </cell>
          <cell r="D19">
            <v>140</v>
          </cell>
          <cell r="E19">
            <v>76.923076923076906</v>
          </cell>
          <cell r="F19">
            <v>1.92307692307692</v>
          </cell>
          <cell r="G19">
            <v>103</v>
          </cell>
          <cell r="H19">
            <v>96</v>
          </cell>
          <cell r="I19">
            <v>93.203883495145604</v>
          </cell>
          <cell r="J19">
            <v>2.3300970873786402</v>
          </cell>
          <cell r="K19">
            <v>4.2531740104555604</v>
          </cell>
          <cell r="L19">
            <v>85.063480209111304</v>
          </cell>
        </row>
        <row r="20">
          <cell r="B20" t="str">
            <v>Munagapaka</v>
          </cell>
          <cell r="C20">
            <v>217</v>
          </cell>
          <cell r="D20">
            <v>99</v>
          </cell>
          <cell r="E20">
            <v>45.622119815668199</v>
          </cell>
          <cell r="F20">
            <v>1.14055299539171</v>
          </cell>
          <cell r="G20">
            <v>170</v>
          </cell>
          <cell r="H20">
            <v>155</v>
          </cell>
          <cell r="I20">
            <v>91.176470588235304</v>
          </cell>
          <cell r="J20">
            <v>2.27941176470588</v>
          </cell>
          <cell r="K20">
            <v>3.41996476009759</v>
          </cell>
          <cell r="L20">
            <v>68.399295201951702</v>
          </cell>
        </row>
        <row r="21">
          <cell r="B21" t="str">
            <v>Nakkapalli</v>
          </cell>
          <cell r="C21">
            <v>315</v>
          </cell>
          <cell r="D21">
            <v>250</v>
          </cell>
          <cell r="E21">
            <v>79.365079365079396</v>
          </cell>
          <cell r="F21">
            <v>1.98412698412698</v>
          </cell>
          <cell r="G21">
            <v>211</v>
          </cell>
          <cell r="H21">
            <v>186</v>
          </cell>
          <cell r="I21">
            <v>88.151658767772503</v>
          </cell>
          <cell r="J21">
            <v>2.2037914691943099</v>
          </cell>
          <cell r="K21">
            <v>4.1879184533213003</v>
          </cell>
          <cell r="L21">
            <v>83.7583690664259</v>
          </cell>
        </row>
        <row r="22">
          <cell r="B22" t="str">
            <v>Narsipatnam Rural</v>
          </cell>
          <cell r="C22">
            <v>93</v>
          </cell>
          <cell r="D22">
            <v>76</v>
          </cell>
          <cell r="E22">
            <v>81.720430107526894</v>
          </cell>
          <cell r="F22">
            <v>2.0430107526881698</v>
          </cell>
          <cell r="G22">
            <v>75</v>
          </cell>
          <cell r="H22">
            <v>52</v>
          </cell>
          <cell r="I22">
            <v>69.3333333333333</v>
          </cell>
          <cell r="J22">
            <v>1.7333333333333301</v>
          </cell>
          <cell r="K22">
            <v>3.7763440860215098</v>
          </cell>
          <cell r="L22">
            <v>75.526881720430097</v>
          </cell>
        </row>
        <row r="23">
          <cell r="B23" t="str">
            <v>Narsipatnam Town</v>
          </cell>
          <cell r="C23">
            <v>315</v>
          </cell>
          <cell r="D23">
            <v>255</v>
          </cell>
          <cell r="E23">
            <v>80.952380952380906</v>
          </cell>
          <cell r="F23">
            <v>2.0238095238095202</v>
          </cell>
          <cell r="G23">
            <v>208</v>
          </cell>
          <cell r="H23">
            <v>174</v>
          </cell>
          <cell r="I23">
            <v>83.653846153846203</v>
          </cell>
          <cell r="J23">
            <v>2.0913461538461502</v>
          </cell>
          <cell r="K23">
            <v>4.1151556776556797</v>
          </cell>
          <cell r="L23">
            <v>82.303113553113505</v>
          </cell>
        </row>
        <row r="24">
          <cell r="B24" t="str">
            <v>Nathavaram</v>
          </cell>
          <cell r="C24">
            <v>133</v>
          </cell>
          <cell r="D24">
            <v>109</v>
          </cell>
          <cell r="E24">
            <v>81.954887218045101</v>
          </cell>
          <cell r="F24">
            <v>2.0488721804511298</v>
          </cell>
          <cell r="G24">
            <v>96</v>
          </cell>
          <cell r="H24">
            <v>69</v>
          </cell>
          <cell r="I24">
            <v>71.875</v>
          </cell>
          <cell r="J24">
            <v>1.796875</v>
          </cell>
          <cell r="K24">
            <v>3.8457471804511298</v>
          </cell>
          <cell r="L24">
            <v>76.9149436090226</v>
          </cell>
        </row>
        <row r="25">
          <cell r="B25" t="str">
            <v>Parawada</v>
          </cell>
          <cell r="C25">
            <v>459</v>
          </cell>
          <cell r="D25">
            <v>203</v>
          </cell>
          <cell r="E25">
            <v>44.2265795206972</v>
          </cell>
          <cell r="F25">
            <v>1.10566448801743</v>
          </cell>
          <cell r="G25">
            <v>313</v>
          </cell>
          <cell r="H25">
            <v>286</v>
          </cell>
          <cell r="I25">
            <v>91.373801916932905</v>
          </cell>
          <cell r="J25">
            <v>2.28434504792332</v>
          </cell>
          <cell r="K25">
            <v>3.3900095359407501</v>
          </cell>
          <cell r="L25">
            <v>67.800190718815003</v>
          </cell>
        </row>
        <row r="26">
          <cell r="B26" t="str">
            <v>Payakaraopeta</v>
          </cell>
          <cell r="C26">
            <v>469</v>
          </cell>
          <cell r="D26">
            <v>329</v>
          </cell>
          <cell r="E26">
            <v>70.149253731343293</v>
          </cell>
          <cell r="F26">
            <v>1.7537313432835799</v>
          </cell>
          <cell r="G26">
            <v>353</v>
          </cell>
          <cell r="H26">
            <v>268</v>
          </cell>
          <cell r="I26">
            <v>75.920679886685505</v>
          </cell>
          <cell r="J26">
            <v>1.8980169971671399</v>
          </cell>
          <cell r="K26">
            <v>3.6517483404507201</v>
          </cell>
          <cell r="L26">
            <v>73.034966809014406</v>
          </cell>
        </row>
        <row r="27">
          <cell r="B27" t="str">
            <v>Rambilli</v>
          </cell>
          <cell r="C27">
            <v>171</v>
          </cell>
          <cell r="D27">
            <v>125</v>
          </cell>
          <cell r="E27">
            <v>73.099415204678394</v>
          </cell>
          <cell r="F27">
            <v>1.8274853801169599</v>
          </cell>
          <cell r="G27">
            <v>129</v>
          </cell>
          <cell r="H27">
            <v>127</v>
          </cell>
          <cell r="I27">
            <v>98.449612403100801</v>
          </cell>
          <cell r="J27">
            <v>2.4612403100775202</v>
          </cell>
          <cell r="K27">
            <v>4.2887256901944797</v>
          </cell>
          <cell r="L27">
            <v>85.774513803889604</v>
          </cell>
        </row>
        <row r="28">
          <cell r="B28" t="str">
            <v>Ravikamatham</v>
          </cell>
          <cell r="C28">
            <v>75</v>
          </cell>
          <cell r="D28">
            <v>64</v>
          </cell>
          <cell r="E28">
            <v>85.3333333333333</v>
          </cell>
          <cell r="F28">
            <v>2.1333333333333302</v>
          </cell>
          <cell r="G28">
            <v>54</v>
          </cell>
          <cell r="H28">
            <v>43</v>
          </cell>
          <cell r="I28">
            <v>79.629629629629605</v>
          </cell>
          <cell r="J28">
            <v>1.99074074074074</v>
          </cell>
          <cell r="K28">
            <v>4.1240740740740698</v>
          </cell>
          <cell r="L28">
            <v>82.481481481481495</v>
          </cell>
        </row>
        <row r="29">
          <cell r="B29" t="str">
            <v>Rolugunta</v>
          </cell>
          <cell r="C29">
            <v>81</v>
          </cell>
          <cell r="D29">
            <v>64</v>
          </cell>
          <cell r="E29">
            <v>79.012345679012299</v>
          </cell>
          <cell r="F29">
            <v>1.9753086419753101</v>
          </cell>
          <cell r="G29">
            <v>54</v>
          </cell>
          <cell r="H29">
            <v>47</v>
          </cell>
          <cell r="I29">
            <v>87.037037037036995</v>
          </cell>
          <cell r="J29">
            <v>2.17592592592593</v>
          </cell>
          <cell r="K29">
            <v>4.1512345679012297</v>
          </cell>
          <cell r="L29">
            <v>83.024691358024697</v>
          </cell>
        </row>
        <row r="30">
          <cell r="B30" t="str">
            <v>S.Rayavaram</v>
          </cell>
          <cell r="C30">
            <v>245</v>
          </cell>
          <cell r="D30">
            <v>181</v>
          </cell>
          <cell r="E30">
            <v>73.877551020408205</v>
          </cell>
          <cell r="F30">
            <v>1.8469387755102</v>
          </cell>
          <cell r="G30">
            <v>159</v>
          </cell>
          <cell r="H30">
            <v>145</v>
          </cell>
          <cell r="I30">
            <v>91.194968553459105</v>
          </cell>
          <cell r="J30">
            <v>2.27987421383648</v>
          </cell>
          <cell r="K30">
            <v>4.1268129893466803</v>
          </cell>
          <cell r="L30">
            <v>82.536259786933599</v>
          </cell>
        </row>
        <row r="31">
          <cell r="B31" t="str">
            <v>Sabbavaram</v>
          </cell>
          <cell r="C31">
            <v>259</v>
          </cell>
          <cell r="D31">
            <v>135</v>
          </cell>
          <cell r="E31">
            <v>52.123552123552102</v>
          </cell>
          <cell r="F31">
            <v>1.3030888030887999</v>
          </cell>
          <cell r="G31">
            <v>187</v>
          </cell>
          <cell r="H31">
            <v>158</v>
          </cell>
          <cell r="I31">
            <v>84.491978609625704</v>
          </cell>
          <cell r="J31">
            <v>2.1122994652406399</v>
          </cell>
          <cell r="K31">
            <v>3.4153882683294401</v>
          </cell>
          <cell r="L31">
            <v>68.307765366588896</v>
          </cell>
        </row>
        <row r="32">
          <cell r="B32" t="str">
            <v>V.Madugula</v>
          </cell>
          <cell r="C32">
            <v>153</v>
          </cell>
          <cell r="D32">
            <v>125</v>
          </cell>
          <cell r="E32">
            <v>81.699346405228795</v>
          </cell>
          <cell r="F32">
            <v>2.0424836601307201</v>
          </cell>
          <cell r="G32">
            <v>126</v>
          </cell>
          <cell r="H32">
            <v>93</v>
          </cell>
          <cell r="I32">
            <v>73.809523809523796</v>
          </cell>
          <cell r="J32">
            <v>1.8452380952381</v>
          </cell>
          <cell r="K32">
            <v>3.8877217553688102</v>
          </cell>
          <cell r="L32">
            <v>77.754435107376295</v>
          </cell>
        </row>
        <row r="33">
          <cell r="B33" t="str">
            <v>Yelamanchili Rural</v>
          </cell>
          <cell r="C33">
            <v>193</v>
          </cell>
          <cell r="D33">
            <v>151</v>
          </cell>
          <cell r="E33">
            <v>78.238341968911897</v>
          </cell>
          <cell r="F33">
            <v>1.9559585492228</v>
          </cell>
          <cell r="G33">
            <v>156</v>
          </cell>
          <cell r="H33">
            <v>134</v>
          </cell>
          <cell r="I33">
            <v>85.897435897435898</v>
          </cell>
          <cell r="J33">
            <v>2.1474358974359</v>
          </cell>
          <cell r="K33">
            <v>4.1033944466587</v>
          </cell>
          <cell r="L33">
            <v>82.067888933173904</v>
          </cell>
        </row>
        <row r="34">
          <cell r="B34" t="str">
            <v>Yelamanchili Town</v>
          </cell>
          <cell r="C34">
            <v>135</v>
          </cell>
          <cell r="D34">
            <v>102</v>
          </cell>
          <cell r="E34">
            <v>75.5555555555556</v>
          </cell>
          <cell r="F34">
            <v>1.8888888888888899</v>
          </cell>
          <cell r="G34">
            <v>111</v>
          </cell>
          <cell r="H34">
            <v>87</v>
          </cell>
          <cell r="I34">
            <v>78.3783783783784</v>
          </cell>
          <cell r="J34">
            <v>1.9594594594594601</v>
          </cell>
          <cell r="K34">
            <v>3.8483483483483498</v>
          </cell>
          <cell r="L34">
            <v>76.966966966966993</v>
          </cell>
        </row>
        <row r="35">
          <cell r="B35" t="str">
            <v>Yelamanchili Traffic</v>
          </cell>
          <cell r="C35">
            <v>38</v>
          </cell>
          <cell r="D35">
            <v>38</v>
          </cell>
          <cell r="E35">
            <v>100</v>
          </cell>
          <cell r="F35">
            <v>2.5</v>
          </cell>
          <cell r="G35">
            <v>38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6677</v>
          </cell>
          <cell r="D36">
            <v>4554</v>
          </cell>
          <cell r="E36">
            <v>68.204283360790797</v>
          </cell>
          <cell r="F36">
            <v>1.49767859817283</v>
          </cell>
          <cell r="G36">
            <v>4965</v>
          </cell>
          <cell r="H36">
            <v>4179</v>
          </cell>
          <cell r="I36">
            <v>84.169184290030202</v>
          </cell>
          <cell r="J36">
            <v>2.0320465045776102</v>
          </cell>
          <cell r="K36">
            <v>3.5297251027504402</v>
          </cell>
          <cell r="L36">
            <v>76.186733825410499</v>
          </cell>
        </row>
      </sheetData>
      <sheetData sheetId="14">
        <row r="2">
          <cell r="C2" t="str">
            <v>FROM 16-09-2026 TO 23-09-2026 -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B5" t="str">
            <v>Anakapalli Rural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Anakapalli Town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Anakapalli Traffic</v>
          </cell>
          <cell r="D7">
            <v>0</v>
          </cell>
          <cell r="E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Atchutapuram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Butchiyyapeta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Cheedikada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Chodavaram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Devarapalli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Golugonda</v>
          </cell>
          <cell r="D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K.D.Peta</v>
          </cell>
          <cell r="D14">
            <v>0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K.Kotapadu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Kasimkota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Kotavurtla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Kothakota</v>
          </cell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Mahila UPS, Anakapalli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Makavarapalem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Munagapaka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Nakkapalli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Narsipatnam Rural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Narsipatnam Town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Nathavaram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Parawada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Payakaraopeta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Rambilli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Ravikamatham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Rolugunta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S.Rayavaram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Sabbavaram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V.Madugula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Yelamanchili Rural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Yelamanchili Town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Yelamanchili Traffic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15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2.5</v>
          </cell>
          <cell r="G3">
            <v>3</v>
          </cell>
          <cell r="H3">
            <v>27.272727272727298</v>
          </cell>
          <cell r="I3">
            <v>0.68181818181818199</v>
          </cell>
          <cell r="J3">
            <v>3.1818181818181799</v>
          </cell>
          <cell r="K3">
            <v>63.636363636363598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2.5</v>
          </cell>
          <cell r="G4">
            <v>4</v>
          </cell>
          <cell r="H4">
            <v>23.529411764705898</v>
          </cell>
          <cell r="I4">
            <v>0.58823529411764697</v>
          </cell>
          <cell r="J4">
            <v>3.0882352941176499</v>
          </cell>
          <cell r="K4">
            <v>61.764705882352899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</v>
          </cell>
          <cell r="F5">
            <v>2.4583333333333299</v>
          </cell>
          <cell r="G5">
            <v>18</v>
          </cell>
          <cell r="H5">
            <v>30</v>
          </cell>
          <cell r="I5">
            <v>0.75</v>
          </cell>
          <cell r="J5">
            <v>3.2083333333333299</v>
          </cell>
          <cell r="K5">
            <v>64.1666666666667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2.5</v>
          </cell>
          <cell r="G6">
            <v>4</v>
          </cell>
          <cell r="H6">
            <v>33.3333333333333</v>
          </cell>
          <cell r="I6">
            <v>0.83333333333333304</v>
          </cell>
          <cell r="J6">
            <v>3.3333333333333299</v>
          </cell>
          <cell r="K6">
            <v>66.6666666666667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2.5</v>
          </cell>
          <cell r="G7">
            <v>6</v>
          </cell>
          <cell r="H7">
            <v>35.294117647058798</v>
          </cell>
          <cell r="I7">
            <v>0.88235294117647101</v>
          </cell>
          <cell r="J7">
            <v>3.3823529411764701</v>
          </cell>
          <cell r="K7">
            <v>67.647058823529406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2.5</v>
          </cell>
          <cell r="G8">
            <v>3</v>
          </cell>
          <cell r="H8">
            <v>30</v>
          </cell>
          <cell r="I8">
            <v>0.75</v>
          </cell>
          <cell r="J8">
            <v>3.25</v>
          </cell>
          <cell r="K8">
            <v>65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2.5</v>
          </cell>
          <cell r="G9">
            <v>2</v>
          </cell>
          <cell r="H9">
            <v>22.2222222222222</v>
          </cell>
          <cell r="I9">
            <v>0.55555555555555602</v>
          </cell>
          <cell r="J9">
            <v>3.0555555555555598</v>
          </cell>
          <cell r="K9">
            <v>61.1111111111111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2.5</v>
          </cell>
          <cell r="G10">
            <v>5</v>
          </cell>
          <cell r="H10">
            <v>25</v>
          </cell>
          <cell r="I10">
            <v>0.625</v>
          </cell>
          <cell r="J10">
            <v>3.125</v>
          </cell>
          <cell r="K10">
            <v>62.5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2.5</v>
          </cell>
          <cell r="G11">
            <v>3</v>
          </cell>
          <cell r="H11">
            <v>30</v>
          </cell>
          <cell r="I11">
            <v>0.75</v>
          </cell>
          <cell r="J11">
            <v>3.25</v>
          </cell>
          <cell r="K11">
            <v>65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2.5</v>
          </cell>
          <cell r="G12">
            <v>3</v>
          </cell>
          <cell r="H12">
            <v>30</v>
          </cell>
          <cell r="I12">
            <v>0.75</v>
          </cell>
          <cell r="J12">
            <v>3.25</v>
          </cell>
          <cell r="K12">
            <v>65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2.5</v>
          </cell>
          <cell r="G13">
            <v>2</v>
          </cell>
          <cell r="H13">
            <v>25</v>
          </cell>
          <cell r="I13">
            <v>0.625</v>
          </cell>
          <cell r="J13">
            <v>3.125</v>
          </cell>
          <cell r="K13">
            <v>62.5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2.5</v>
          </cell>
          <cell r="G14">
            <v>3</v>
          </cell>
          <cell r="H14">
            <v>30</v>
          </cell>
          <cell r="I14">
            <v>0.75</v>
          </cell>
          <cell r="J14">
            <v>3.25</v>
          </cell>
          <cell r="K14">
            <v>65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2.5</v>
          </cell>
          <cell r="G15">
            <v>4</v>
          </cell>
          <cell r="H15">
            <v>20</v>
          </cell>
          <cell r="I15">
            <v>0.5</v>
          </cell>
          <cell r="J15">
            <v>3</v>
          </cell>
          <cell r="K15">
            <v>60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2.5</v>
          </cell>
          <cell r="G16">
            <v>3</v>
          </cell>
          <cell r="H16">
            <v>30</v>
          </cell>
          <cell r="I16">
            <v>0.75</v>
          </cell>
          <cell r="J16">
            <v>3.25</v>
          </cell>
          <cell r="K16">
            <v>65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2.5</v>
          </cell>
          <cell r="G17">
            <v>2</v>
          </cell>
          <cell r="H17">
            <v>25</v>
          </cell>
          <cell r="I17">
            <v>0.625</v>
          </cell>
          <cell r="J17">
            <v>3.125</v>
          </cell>
          <cell r="K17">
            <v>62.5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91.6666666666667</v>
          </cell>
          <cell r="F18">
            <v>2.2916666666666701</v>
          </cell>
          <cell r="G18">
            <v>8</v>
          </cell>
          <cell r="H18">
            <v>66.6666666666667</v>
          </cell>
          <cell r="I18">
            <v>1.6666666666666701</v>
          </cell>
          <cell r="J18">
            <v>3.9583333333333299</v>
          </cell>
          <cell r="K18">
            <v>79.1666666666667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2.5</v>
          </cell>
          <cell r="G19">
            <v>3</v>
          </cell>
          <cell r="H19">
            <v>25</v>
          </cell>
          <cell r="I19">
            <v>0.625</v>
          </cell>
          <cell r="J19">
            <v>3.125</v>
          </cell>
          <cell r="K19">
            <v>62.5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2.5</v>
          </cell>
          <cell r="G20">
            <v>4</v>
          </cell>
          <cell r="H20">
            <v>33.3333333333333</v>
          </cell>
          <cell r="I20">
            <v>0.83333333333333304</v>
          </cell>
          <cell r="J20">
            <v>3.3333333333333299</v>
          </cell>
          <cell r="K20">
            <v>66.6666666666667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2.5</v>
          </cell>
          <cell r="G21">
            <v>5</v>
          </cell>
          <cell r="H21">
            <v>25</v>
          </cell>
          <cell r="I21">
            <v>0.625</v>
          </cell>
          <cell r="J21">
            <v>3.125</v>
          </cell>
          <cell r="K21">
            <v>62.5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2.5</v>
          </cell>
          <cell r="G22">
            <v>3</v>
          </cell>
          <cell r="H22">
            <v>25</v>
          </cell>
          <cell r="I22">
            <v>0.625</v>
          </cell>
          <cell r="J22">
            <v>3.125</v>
          </cell>
          <cell r="K22">
            <v>62.5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2.5</v>
          </cell>
          <cell r="G23">
            <v>7</v>
          </cell>
          <cell r="H23">
            <v>25.925925925925899</v>
          </cell>
          <cell r="I23">
            <v>0.64814814814814803</v>
          </cell>
          <cell r="J23">
            <v>3.1481481481481501</v>
          </cell>
          <cell r="K23">
            <v>62.962962962962997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2.5</v>
          </cell>
          <cell r="G24">
            <v>3</v>
          </cell>
          <cell r="H24">
            <v>25</v>
          </cell>
          <cell r="I24">
            <v>0.625</v>
          </cell>
          <cell r="J24">
            <v>3.125</v>
          </cell>
          <cell r="K24">
            <v>62.5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97.297297297297305</v>
          </cell>
          <cell r="F25">
            <v>2.4324324324324298</v>
          </cell>
          <cell r="G25">
            <v>9</v>
          </cell>
          <cell r="H25">
            <v>24.324324324324301</v>
          </cell>
          <cell r="I25">
            <v>0.608108108108108</v>
          </cell>
          <cell r="J25">
            <v>3.0405405405405399</v>
          </cell>
          <cell r="K25">
            <v>60.8108108108108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2.5</v>
          </cell>
          <cell r="G26">
            <v>6</v>
          </cell>
          <cell r="H26">
            <v>35.294117647058798</v>
          </cell>
          <cell r="I26">
            <v>0.88235294117647101</v>
          </cell>
          <cell r="J26">
            <v>3.3823529411764701</v>
          </cell>
          <cell r="K26">
            <v>67.647058823529406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2.5</v>
          </cell>
          <cell r="G27">
            <v>5</v>
          </cell>
          <cell r="H27">
            <v>35.714285714285701</v>
          </cell>
          <cell r="I27">
            <v>0.89285714285714302</v>
          </cell>
          <cell r="J27">
            <v>3.3928571428571401</v>
          </cell>
          <cell r="K27">
            <v>67.857142857142904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2.5</v>
          </cell>
          <cell r="G28">
            <v>3</v>
          </cell>
          <cell r="H28">
            <v>25</v>
          </cell>
          <cell r="I28">
            <v>0.625</v>
          </cell>
          <cell r="J28">
            <v>3.125</v>
          </cell>
          <cell r="K28">
            <v>62.5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2.5</v>
          </cell>
          <cell r="G29">
            <v>3</v>
          </cell>
          <cell r="H29">
            <v>25</v>
          </cell>
          <cell r="I29">
            <v>0.625</v>
          </cell>
          <cell r="J29">
            <v>3.125</v>
          </cell>
          <cell r="K29">
            <v>62.5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2.5</v>
          </cell>
          <cell r="G30">
            <v>3</v>
          </cell>
          <cell r="H30">
            <v>25</v>
          </cell>
          <cell r="I30">
            <v>0.625</v>
          </cell>
          <cell r="J30">
            <v>3.125</v>
          </cell>
          <cell r="K30">
            <v>62.5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96.428571428571402</v>
          </cell>
          <cell r="F31">
            <v>2.41071428571429</v>
          </cell>
          <cell r="G31">
            <v>8</v>
          </cell>
          <cell r="H31">
            <v>28.571428571428601</v>
          </cell>
          <cell r="I31">
            <v>0.71428571428571397</v>
          </cell>
          <cell r="J31">
            <v>3.125</v>
          </cell>
          <cell r="K31">
            <v>62.5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2.5</v>
          </cell>
          <cell r="G32">
            <v>5</v>
          </cell>
          <cell r="H32">
            <v>35.714285714285701</v>
          </cell>
          <cell r="I32">
            <v>0.89285714285714302</v>
          </cell>
          <cell r="J32">
            <v>3.3928571428571401</v>
          </cell>
          <cell r="K32">
            <v>67.857142857142904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2.5</v>
          </cell>
          <cell r="G33">
            <v>3</v>
          </cell>
          <cell r="H33">
            <v>30</v>
          </cell>
          <cell r="I33">
            <v>0.75</v>
          </cell>
          <cell r="J33">
            <v>3.25</v>
          </cell>
          <cell r="K33">
            <v>65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2.5</v>
          </cell>
          <cell r="G34">
            <v>3</v>
          </cell>
          <cell r="H34">
            <v>30</v>
          </cell>
          <cell r="I34">
            <v>0.75</v>
          </cell>
          <cell r="J34">
            <v>3.25</v>
          </cell>
          <cell r="K34">
            <v>65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2.5</v>
          </cell>
          <cell r="G35">
            <v>2</v>
          </cell>
          <cell r="H35">
            <v>25</v>
          </cell>
          <cell r="I35">
            <v>0.625</v>
          </cell>
          <cell r="J35">
            <v>3.125</v>
          </cell>
          <cell r="K35">
            <v>62.5</v>
          </cell>
        </row>
        <row r="36">
          <cell r="C36">
            <v>513</v>
          </cell>
          <cell r="D36">
            <v>509</v>
          </cell>
          <cell r="E36">
            <v>99.506844506844502</v>
          </cell>
          <cell r="F36">
            <v>2.48767111267111</v>
          </cell>
          <cell r="G36">
            <v>148</v>
          </cell>
          <cell r="H36">
            <v>29.157460004162299</v>
          </cell>
          <cell r="I36">
            <v>24.0549045034339</v>
          </cell>
          <cell r="J36">
            <v>106.148051221581</v>
          </cell>
          <cell r="K36">
            <v>2122.96102443161</v>
          </cell>
        </row>
      </sheetData>
      <sheetData sheetId="16">
        <row r="2">
          <cell r="B2" t="str">
            <v>PS</v>
          </cell>
          <cell r="C2" t="str">
            <v>Is Drone Available</v>
          </cell>
          <cell r="D2" t="str">
            <v>Hours</v>
          </cell>
          <cell r="E2" t="str">
            <v>Min</v>
          </cell>
          <cell r="F2" t="str">
            <v>Sec</v>
          </cell>
          <cell r="G2" t="str">
            <v>Total Seconds</v>
          </cell>
          <cell r="H2" t="str">
            <v>Flying  Value
(80%)</v>
          </cell>
          <cell r="I2" t="str">
            <v>Enforce
ment
( 20%)</v>
          </cell>
          <cell r="J2" t="str">
            <v>Raw Value</v>
          </cell>
        </row>
        <row r="3">
          <cell r="B3" t="str">
            <v>A.Koduru</v>
          </cell>
          <cell r="C3" t="str">
            <v>NO</v>
          </cell>
          <cell r="D3">
            <v>6</v>
          </cell>
          <cell r="G3">
            <v>21600</v>
          </cell>
          <cell r="H3">
            <v>30</v>
          </cell>
          <cell r="I3">
            <v>20</v>
          </cell>
          <cell r="J3">
            <v>50</v>
          </cell>
        </row>
        <row r="4">
          <cell r="B4" t="str">
            <v>Anakapalli Rural</v>
          </cell>
          <cell r="C4" t="str">
            <v>YES</v>
          </cell>
          <cell r="D4">
            <v>10</v>
          </cell>
          <cell r="G4">
            <v>36000</v>
          </cell>
          <cell r="H4">
            <v>37</v>
          </cell>
          <cell r="I4">
            <v>20</v>
          </cell>
          <cell r="J4">
            <v>57</v>
          </cell>
        </row>
        <row r="5">
          <cell r="B5" t="str">
            <v>Anakapalli Town</v>
          </cell>
          <cell r="C5" t="str">
            <v>YES</v>
          </cell>
          <cell r="D5">
            <v>12</v>
          </cell>
          <cell r="G5">
            <v>43200</v>
          </cell>
          <cell r="H5">
            <v>41</v>
          </cell>
          <cell r="I5">
            <v>20</v>
          </cell>
          <cell r="J5">
            <v>61</v>
          </cell>
        </row>
        <row r="6">
          <cell r="B6" t="str">
            <v>Anakapalli Traffic</v>
          </cell>
          <cell r="C6" t="str">
            <v>YES</v>
          </cell>
          <cell r="D6">
            <v>12</v>
          </cell>
          <cell r="G6">
            <v>43200</v>
          </cell>
          <cell r="H6">
            <v>41</v>
          </cell>
          <cell r="I6">
            <v>20</v>
          </cell>
          <cell r="J6">
            <v>61</v>
          </cell>
        </row>
        <row r="7">
          <cell r="B7" t="str">
            <v>Atchutapuram</v>
          </cell>
          <cell r="C7" t="str">
            <v>YES</v>
          </cell>
          <cell r="D7">
            <v>18</v>
          </cell>
          <cell r="G7">
            <v>64800</v>
          </cell>
          <cell r="H7">
            <v>51</v>
          </cell>
          <cell r="J7">
            <v>51</v>
          </cell>
        </row>
        <row r="8">
          <cell r="B8" t="str">
            <v>Butchiyyapeta</v>
          </cell>
          <cell r="C8" t="str">
            <v>NO</v>
          </cell>
          <cell r="D8">
            <v>18</v>
          </cell>
          <cell r="G8">
            <v>64800</v>
          </cell>
          <cell r="H8">
            <v>51</v>
          </cell>
          <cell r="J8">
            <v>51</v>
          </cell>
        </row>
        <row r="9">
          <cell r="B9" t="str">
            <v>Cheedikada</v>
          </cell>
          <cell r="C9" t="str">
            <v>NO</v>
          </cell>
          <cell r="D9">
            <v>18</v>
          </cell>
          <cell r="G9">
            <v>64800</v>
          </cell>
          <cell r="H9">
            <v>51</v>
          </cell>
          <cell r="J9">
            <v>51</v>
          </cell>
        </row>
        <row r="10">
          <cell r="B10" t="str">
            <v>Chodavaram</v>
          </cell>
          <cell r="C10" t="str">
            <v>YES</v>
          </cell>
          <cell r="D10">
            <v>18</v>
          </cell>
          <cell r="G10">
            <v>64800</v>
          </cell>
          <cell r="H10">
            <v>51</v>
          </cell>
          <cell r="J10">
            <v>51</v>
          </cell>
        </row>
        <row r="11">
          <cell r="B11" t="str">
            <v>Devarapalli</v>
          </cell>
          <cell r="C11" t="str">
            <v>NO</v>
          </cell>
          <cell r="D11">
            <v>18</v>
          </cell>
          <cell r="G11">
            <v>64800</v>
          </cell>
          <cell r="H11">
            <v>51</v>
          </cell>
          <cell r="J11">
            <v>51</v>
          </cell>
        </row>
        <row r="12">
          <cell r="B12" t="str">
            <v>Golugonda</v>
          </cell>
          <cell r="C12" t="str">
            <v>NO</v>
          </cell>
          <cell r="D12">
            <v>18</v>
          </cell>
          <cell r="G12">
            <v>64800</v>
          </cell>
          <cell r="H12">
            <v>51</v>
          </cell>
          <cell r="J12">
            <v>51</v>
          </cell>
        </row>
        <row r="13">
          <cell r="B13" t="str">
            <v>K.D.Peta</v>
          </cell>
          <cell r="C13" t="str">
            <v>YES</v>
          </cell>
          <cell r="D13">
            <v>18</v>
          </cell>
          <cell r="G13">
            <v>64800</v>
          </cell>
          <cell r="H13">
            <v>51</v>
          </cell>
          <cell r="J13">
            <v>51</v>
          </cell>
        </row>
        <row r="14">
          <cell r="B14" t="str">
            <v>K.Kotapadu</v>
          </cell>
          <cell r="C14" t="str">
            <v>YES</v>
          </cell>
          <cell r="D14">
            <v>18</v>
          </cell>
          <cell r="G14">
            <v>64800</v>
          </cell>
          <cell r="H14">
            <v>51</v>
          </cell>
          <cell r="J14">
            <v>51</v>
          </cell>
        </row>
        <row r="15">
          <cell r="B15" t="str">
            <v>Kasimkota</v>
          </cell>
          <cell r="C15" t="str">
            <v>YES</v>
          </cell>
          <cell r="D15">
            <v>18</v>
          </cell>
          <cell r="G15">
            <v>64800</v>
          </cell>
          <cell r="H15">
            <v>51</v>
          </cell>
          <cell r="J15">
            <v>51</v>
          </cell>
        </row>
        <row r="16">
          <cell r="B16" t="str">
            <v>Kotavurtla</v>
          </cell>
          <cell r="C16" t="str">
            <v>NO</v>
          </cell>
          <cell r="D16">
            <v>20</v>
          </cell>
          <cell r="G16">
            <v>72000</v>
          </cell>
          <cell r="H16">
            <v>54</v>
          </cell>
          <cell r="J16">
            <v>54</v>
          </cell>
        </row>
        <row r="17">
          <cell r="B17" t="str">
            <v>Kothakota</v>
          </cell>
          <cell r="C17" t="str">
            <v>YES</v>
          </cell>
          <cell r="D17">
            <v>18</v>
          </cell>
          <cell r="G17">
            <v>64800</v>
          </cell>
          <cell r="H17">
            <v>51</v>
          </cell>
          <cell r="J17">
            <v>51</v>
          </cell>
        </row>
        <row r="18">
          <cell r="B18" t="str">
            <v>Mahila UPS, Anakapalli</v>
          </cell>
          <cell r="C18" t="str">
            <v>NO</v>
          </cell>
          <cell r="D18">
            <v>18</v>
          </cell>
          <cell r="G18">
            <v>64800</v>
          </cell>
          <cell r="H18">
            <v>51</v>
          </cell>
          <cell r="J18">
            <v>51</v>
          </cell>
        </row>
        <row r="19">
          <cell r="B19" t="str">
            <v>Makavarapalem</v>
          </cell>
          <cell r="C19" t="str">
            <v>YES</v>
          </cell>
          <cell r="D19">
            <v>18</v>
          </cell>
          <cell r="G19">
            <v>64800</v>
          </cell>
          <cell r="H19">
            <v>51</v>
          </cell>
          <cell r="J19">
            <v>51</v>
          </cell>
        </row>
        <row r="20">
          <cell r="B20" t="str">
            <v>Munagapaka</v>
          </cell>
          <cell r="C20" t="str">
            <v>NO</v>
          </cell>
          <cell r="D20">
            <v>18</v>
          </cell>
          <cell r="G20">
            <v>64800</v>
          </cell>
          <cell r="H20">
            <v>51</v>
          </cell>
          <cell r="J20">
            <v>51</v>
          </cell>
        </row>
        <row r="21">
          <cell r="B21" t="str">
            <v>Nakkapalli</v>
          </cell>
          <cell r="C21" t="str">
            <v>YES</v>
          </cell>
          <cell r="D21">
            <v>18</v>
          </cell>
          <cell r="G21">
            <v>64800</v>
          </cell>
          <cell r="H21">
            <v>51</v>
          </cell>
          <cell r="J21">
            <v>51</v>
          </cell>
        </row>
        <row r="22">
          <cell r="B22" t="str">
            <v>Narsipatnam Rural</v>
          </cell>
          <cell r="C22" t="str">
            <v>YES</v>
          </cell>
          <cell r="D22">
            <v>20</v>
          </cell>
          <cell r="G22">
            <v>72000</v>
          </cell>
          <cell r="H22">
            <v>54</v>
          </cell>
          <cell r="J22">
            <v>54</v>
          </cell>
        </row>
        <row r="23">
          <cell r="B23" t="str">
            <v>Narsipatnam Town</v>
          </cell>
          <cell r="C23" t="str">
            <v>YES</v>
          </cell>
          <cell r="D23">
            <v>22</v>
          </cell>
          <cell r="G23">
            <v>79200</v>
          </cell>
          <cell r="H23">
            <v>58</v>
          </cell>
          <cell r="J23">
            <v>58</v>
          </cell>
        </row>
        <row r="24">
          <cell r="B24" t="str">
            <v>Nathavaram</v>
          </cell>
          <cell r="C24" t="str">
            <v>NO</v>
          </cell>
          <cell r="D24">
            <v>18</v>
          </cell>
          <cell r="G24">
            <v>64800</v>
          </cell>
          <cell r="H24">
            <v>51</v>
          </cell>
          <cell r="J24">
            <v>51</v>
          </cell>
        </row>
        <row r="25">
          <cell r="B25" t="str">
            <v>Parawada</v>
          </cell>
          <cell r="C25" t="str">
            <v>YES</v>
          </cell>
          <cell r="D25">
            <v>24</v>
          </cell>
          <cell r="G25">
            <v>86400</v>
          </cell>
          <cell r="H25">
            <v>61</v>
          </cell>
          <cell r="J25">
            <v>61</v>
          </cell>
        </row>
        <row r="26">
          <cell r="B26" t="str">
            <v>Payakaraopeta</v>
          </cell>
          <cell r="C26" t="str">
            <v>YES</v>
          </cell>
          <cell r="D26">
            <v>22</v>
          </cell>
          <cell r="G26">
            <v>79200</v>
          </cell>
          <cell r="H26">
            <v>58</v>
          </cell>
          <cell r="J26">
            <v>58</v>
          </cell>
        </row>
        <row r="27">
          <cell r="B27" t="str">
            <v>Rambilli</v>
          </cell>
          <cell r="C27" t="str">
            <v>YES</v>
          </cell>
          <cell r="D27">
            <v>18</v>
          </cell>
          <cell r="G27">
            <v>64800</v>
          </cell>
          <cell r="H27">
            <v>51</v>
          </cell>
          <cell r="J27">
            <v>51</v>
          </cell>
        </row>
        <row r="28">
          <cell r="B28" t="str">
            <v>Ravikamatham</v>
          </cell>
          <cell r="C28" t="str">
            <v>NO</v>
          </cell>
          <cell r="D28">
            <v>18</v>
          </cell>
          <cell r="G28">
            <v>64800</v>
          </cell>
          <cell r="H28">
            <v>51</v>
          </cell>
          <cell r="J28">
            <v>51</v>
          </cell>
        </row>
        <row r="29">
          <cell r="B29" t="str">
            <v>Rolugunta</v>
          </cell>
          <cell r="C29" t="str">
            <v>NO</v>
          </cell>
          <cell r="D29">
            <v>18</v>
          </cell>
          <cell r="G29">
            <v>64800</v>
          </cell>
          <cell r="H29">
            <v>51</v>
          </cell>
          <cell r="J29">
            <v>51</v>
          </cell>
        </row>
        <row r="30">
          <cell r="B30" t="str">
            <v>S.Rayavaram</v>
          </cell>
          <cell r="C30" t="str">
            <v>YES</v>
          </cell>
          <cell r="D30">
            <v>20</v>
          </cell>
          <cell r="G30">
            <v>72000</v>
          </cell>
          <cell r="H30">
            <v>54</v>
          </cell>
          <cell r="J30">
            <v>54</v>
          </cell>
        </row>
        <row r="31">
          <cell r="B31" t="str">
            <v>Sabbavaram</v>
          </cell>
          <cell r="C31" t="str">
            <v>NO</v>
          </cell>
          <cell r="D31">
            <v>18</v>
          </cell>
          <cell r="G31">
            <v>64800</v>
          </cell>
          <cell r="H31">
            <v>51</v>
          </cell>
          <cell r="J31">
            <v>51</v>
          </cell>
        </row>
        <row r="32">
          <cell r="B32" t="str">
            <v>V.Madugula</v>
          </cell>
          <cell r="C32" t="str">
            <v>NO</v>
          </cell>
          <cell r="D32">
            <v>18</v>
          </cell>
          <cell r="G32">
            <v>64800</v>
          </cell>
          <cell r="H32">
            <v>51</v>
          </cell>
          <cell r="J32">
            <v>51</v>
          </cell>
        </row>
        <row r="33">
          <cell r="B33" t="str">
            <v>Yelamanchili Rural</v>
          </cell>
          <cell r="C33" t="str">
            <v>NO</v>
          </cell>
          <cell r="D33">
            <v>20</v>
          </cell>
          <cell r="G33">
            <v>72000</v>
          </cell>
          <cell r="H33">
            <v>54</v>
          </cell>
          <cell r="J33">
            <v>54</v>
          </cell>
        </row>
        <row r="34">
          <cell r="B34" t="str">
            <v>Yelamanchili Town</v>
          </cell>
          <cell r="C34" t="str">
            <v>YES</v>
          </cell>
          <cell r="D34">
            <v>20</v>
          </cell>
          <cell r="G34">
            <v>72000</v>
          </cell>
          <cell r="H34">
            <v>54</v>
          </cell>
          <cell r="J34">
            <v>54</v>
          </cell>
        </row>
        <row r="35">
          <cell r="B35" t="str">
            <v>Yelamanchili Traffic</v>
          </cell>
          <cell r="C35" t="str">
            <v>YES</v>
          </cell>
          <cell r="D35">
            <v>20</v>
          </cell>
          <cell r="G35">
            <v>72000</v>
          </cell>
          <cell r="H35">
            <v>54</v>
          </cell>
          <cell r="J35">
            <v>54</v>
          </cell>
        </row>
      </sheetData>
      <sheetData sheetId="17">
        <row r="2">
          <cell r="B2" t="str">
            <v>PS</v>
          </cell>
          <cell r="C2" t="str">
            <v>Total Tabs
 Config</v>
          </cell>
          <cell r="D2" t="str">
            <v>ERU Connected Live</v>
          </cell>
          <cell r="E2" t="str">
            <v>Dis-connected Tabs</v>
          </cell>
          <cell r="F2" t="str">
            <v>% of Disconnected Tabs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2</v>
          </cell>
          <cell r="D3">
            <v>2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</v>
          </cell>
          <cell r="D4">
            <v>3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5</v>
          </cell>
          <cell r="D5">
            <v>5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3</v>
          </cell>
          <cell r="D6">
            <v>3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3</v>
          </cell>
          <cell r="D7">
            <v>3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2</v>
          </cell>
          <cell r="D9">
            <v>2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2</v>
          </cell>
          <cell r="D10">
            <v>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3</v>
          </cell>
          <cell r="D13">
            <v>1</v>
          </cell>
          <cell r="E13">
            <v>2</v>
          </cell>
          <cell r="F13">
            <v>66.6666666666667</v>
          </cell>
          <cell r="G13">
            <v>33.3333333333333</v>
          </cell>
          <cell r="H13">
            <v>1.6666666666666701</v>
          </cell>
        </row>
        <row r="14">
          <cell r="B14" t="str">
            <v>K.Kotapadu</v>
          </cell>
          <cell r="C14">
            <v>2</v>
          </cell>
          <cell r="D14">
            <v>1</v>
          </cell>
          <cell r="E14">
            <v>1</v>
          </cell>
          <cell r="F14">
            <v>50</v>
          </cell>
          <cell r="G14">
            <v>50</v>
          </cell>
          <cell r="H14">
            <v>2.5</v>
          </cell>
        </row>
        <row r="15">
          <cell r="B15" t="str">
            <v>Kasimkota</v>
          </cell>
          <cell r="C15">
            <v>3</v>
          </cell>
          <cell r="D15">
            <v>3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2</v>
          </cell>
          <cell r="D16">
            <v>1</v>
          </cell>
          <cell r="E16">
            <v>1</v>
          </cell>
          <cell r="F16">
            <v>50</v>
          </cell>
          <cell r="G16">
            <v>50</v>
          </cell>
          <cell r="H16">
            <v>2.5</v>
          </cell>
        </row>
        <row r="17">
          <cell r="B17" t="str">
            <v>Kothakota</v>
          </cell>
          <cell r="C17">
            <v>2</v>
          </cell>
          <cell r="D17">
            <v>2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3</v>
          </cell>
          <cell r="D18">
            <v>3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3</v>
          </cell>
          <cell r="D19">
            <v>3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4</v>
          </cell>
          <cell r="D20">
            <v>3</v>
          </cell>
          <cell r="E20">
            <v>1</v>
          </cell>
          <cell r="F20">
            <v>25</v>
          </cell>
          <cell r="G20">
            <v>75</v>
          </cell>
          <cell r="H20">
            <v>3.75</v>
          </cell>
        </row>
        <row r="21">
          <cell r="B21" t="str">
            <v>Nakkapalli</v>
          </cell>
          <cell r="C21">
            <v>3</v>
          </cell>
          <cell r="D21">
            <v>3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3</v>
          </cell>
          <cell r="D22">
            <v>3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3</v>
          </cell>
          <cell r="D23">
            <v>3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2</v>
          </cell>
          <cell r="D24">
            <v>2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2</v>
          </cell>
          <cell r="D25">
            <v>2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3</v>
          </cell>
          <cell r="D27">
            <v>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2</v>
          </cell>
          <cell r="D28">
            <v>2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2</v>
          </cell>
          <cell r="D29">
            <v>2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3</v>
          </cell>
          <cell r="D31">
            <v>3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2</v>
          </cell>
          <cell r="D32">
            <v>2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2</v>
          </cell>
          <cell r="D33">
            <v>2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82</v>
          </cell>
          <cell r="D36">
            <v>77</v>
          </cell>
          <cell r="E36">
            <v>5</v>
          </cell>
          <cell r="F36">
            <v>5.8080808080808097</v>
          </cell>
          <cell r="G36">
            <v>94.191919191919197</v>
          </cell>
          <cell r="H36">
            <v>4.7095959595959602</v>
          </cell>
        </row>
      </sheetData>
      <sheetData sheetId="18">
        <row r="2">
          <cell r="B2" t="str">
            <v>PS</v>
          </cell>
          <cell r="C2" t="str">
            <v>Total calls Assigned to PS</v>
          </cell>
          <cell r="D2" t="str">
            <v>No. of Calls Assigned to Tabs by PS</v>
          </cell>
          <cell r="E2" t="str">
            <v>No. of Calls not Assigned to Tabs by PS</v>
          </cell>
          <cell r="F2" t="str">
            <v xml:space="preserve"> Average Response Time
(HH:MM:SS)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1</v>
          </cell>
          <cell r="D3">
            <v>1</v>
          </cell>
          <cell r="E3">
            <v>0</v>
          </cell>
          <cell r="F3" t="str">
            <v>00.00.44</v>
          </cell>
          <cell r="G3">
            <v>96.371882086167801</v>
          </cell>
          <cell r="H3">
            <v>4.8185941043083904</v>
          </cell>
        </row>
        <row r="4">
          <cell r="B4" t="str">
            <v>Anakapalli Rural</v>
          </cell>
          <cell r="C4">
            <v>20</v>
          </cell>
          <cell r="D4">
            <v>20</v>
          </cell>
          <cell r="E4">
            <v>0</v>
          </cell>
          <cell r="F4" t="str">
            <v>00.03.13</v>
          </cell>
          <cell r="G4">
            <v>62.585034013605402</v>
          </cell>
          <cell r="H4">
            <v>3.1292517006802698</v>
          </cell>
        </row>
        <row r="5">
          <cell r="B5" t="str">
            <v>Anakapalli Town</v>
          </cell>
          <cell r="C5">
            <v>38</v>
          </cell>
          <cell r="D5">
            <v>38</v>
          </cell>
          <cell r="E5">
            <v>0</v>
          </cell>
          <cell r="F5" t="str">
            <v>00.02.57</v>
          </cell>
          <cell r="G5">
            <v>66.213151927437593</v>
          </cell>
          <cell r="H5">
            <v>3.3106575963718798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 t="str">
            <v>00.00.00</v>
          </cell>
          <cell r="G6">
            <v>50</v>
          </cell>
          <cell r="H6">
            <v>2.5</v>
          </cell>
        </row>
        <row r="7">
          <cell r="B7" t="str">
            <v>Atchutapuram</v>
          </cell>
          <cell r="C7">
            <v>15</v>
          </cell>
          <cell r="D7">
            <v>15</v>
          </cell>
          <cell r="E7">
            <v>0</v>
          </cell>
          <cell r="F7" t="str">
            <v>00.03.37</v>
          </cell>
          <cell r="G7">
            <v>57.142857142857103</v>
          </cell>
          <cell r="H7">
            <v>2.8571428571428599</v>
          </cell>
        </row>
        <row r="8">
          <cell r="B8" t="str">
            <v>Butchiyyapeta</v>
          </cell>
          <cell r="C8">
            <v>7</v>
          </cell>
          <cell r="D8">
            <v>7</v>
          </cell>
          <cell r="E8">
            <v>0</v>
          </cell>
          <cell r="F8" t="str">
            <v>00.02.19</v>
          </cell>
          <cell r="G8">
            <v>74.829931972789097</v>
          </cell>
          <cell r="H8">
            <v>3.7414965986394599</v>
          </cell>
        </row>
        <row r="9">
          <cell r="B9" t="str">
            <v>Cheedikada</v>
          </cell>
          <cell r="C9">
            <v>3</v>
          </cell>
          <cell r="D9">
            <v>3</v>
          </cell>
          <cell r="E9">
            <v>0</v>
          </cell>
          <cell r="F9" t="str">
            <v>00.02.16</v>
          </cell>
          <cell r="G9">
            <v>75.510204081632693</v>
          </cell>
          <cell r="H9">
            <v>3.77551020408163</v>
          </cell>
        </row>
        <row r="10">
          <cell r="B10" t="str">
            <v>Chodavaram</v>
          </cell>
          <cell r="C10">
            <v>10</v>
          </cell>
          <cell r="D10">
            <v>10</v>
          </cell>
          <cell r="E10">
            <v>0</v>
          </cell>
          <cell r="F10" t="str">
            <v>00.05.16</v>
          </cell>
          <cell r="G10">
            <v>34.6938775510204</v>
          </cell>
          <cell r="H10">
            <v>1.7346938775510199</v>
          </cell>
        </row>
        <row r="11">
          <cell r="B11" t="str">
            <v>Devarapalli</v>
          </cell>
          <cell r="C11">
            <v>5</v>
          </cell>
          <cell r="D11">
            <v>5</v>
          </cell>
          <cell r="E11">
            <v>0</v>
          </cell>
          <cell r="F11" t="str">
            <v>00.02.10</v>
          </cell>
          <cell r="G11">
            <v>76.8707482993197</v>
          </cell>
          <cell r="H11">
            <v>3.84353741496599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 t="str">
            <v>00.00.00</v>
          </cell>
          <cell r="G12">
            <v>50</v>
          </cell>
          <cell r="H12">
            <v>2.5</v>
          </cell>
        </row>
        <row r="13">
          <cell r="B13" t="str">
            <v>K.D.Peta</v>
          </cell>
          <cell r="C13">
            <v>1</v>
          </cell>
          <cell r="D13">
            <v>1</v>
          </cell>
          <cell r="E13">
            <v>0</v>
          </cell>
          <cell r="F13" t="str">
            <v>00.04.17</v>
          </cell>
          <cell r="G13">
            <v>48.072562358276599</v>
          </cell>
          <cell r="H13">
            <v>2.4036281179138301</v>
          </cell>
        </row>
        <row r="14">
          <cell r="B14" t="str">
            <v>K.Kotapadu</v>
          </cell>
          <cell r="C14">
            <v>4</v>
          </cell>
          <cell r="D14">
            <v>4</v>
          </cell>
          <cell r="E14">
            <v>0</v>
          </cell>
          <cell r="F14" t="str">
            <v>00.06.43</v>
          </cell>
          <cell r="G14">
            <v>14.965986394557801</v>
          </cell>
          <cell r="H14">
            <v>0.74829931972789099</v>
          </cell>
        </row>
        <row r="15">
          <cell r="B15" t="str">
            <v>Kasimkota</v>
          </cell>
          <cell r="C15">
            <v>12</v>
          </cell>
          <cell r="D15">
            <v>12</v>
          </cell>
          <cell r="E15">
            <v>0</v>
          </cell>
          <cell r="F15" t="str">
            <v>00.02.22</v>
          </cell>
          <cell r="G15">
            <v>74.149659863945601</v>
          </cell>
          <cell r="H15">
            <v>3.7074829931972801</v>
          </cell>
        </row>
        <row r="16">
          <cell r="B16" t="str">
            <v>Kotavurtla</v>
          </cell>
          <cell r="C16">
            <v>5</v>
          </cell>
          <cell r="D16">
            <v>5</v>
          </cell>
          <cell r="E16">
            <v>0</v>
          </cell>
          <cell r="F16" t="str">
            <v>00.04.03</v>
          </cell>
          <cell r="G16">
            <v>51.247165532879798</v>
          </cell>
          <cell r="H16">
            <v>2.5623582766439901</v>
          </cell>
        </row>
        <row r="17">
          <cell r="B17" t="str">
            <v>Kothakota</v>
          </cell>
          <cell r="C17">
            <v>2</v>
          </cell>
          <cell r="D17">
            <v>2</v>
          </cell>
          <cell r="E17">
            <v>0</v>
          </cell>
          <cell r="F17" t="str">
            <v>00.00.28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 t="str">
            <v>00.00.00</v>
          </cell>
          <cell r="G18">
            <v>50</v>
          </cell>
          <cell r="H18">
            <v>2.5</v>
          </cell>
        </row>
        <row r="19">
          <cell r="B19" t="str">
            <v>Makavarapalem</v>
          </cell>
          <cell r="C19">
            <v>4</v>
          </cell>
          <cell r="D19">
            <v>4</v>
          </cell>
          <cell r="E19">
            <v>0</v>
          </cell>
          <cell r="F19" t="str">
            <v>00.02.45</v>
          </cell>
          <cell r="G19">
            <v>68.934240362811806</v>
          </cell>
          <cell r="H19">
            <v>3.4467120181405901</v>
          </cell>
        </row>
        <row r="20">
          <cell r="B20" t="str">
            <v>Munagapaka</v>
          </cell>
          <cell r="C20">
            <v>7</v>
          </cell>
          <cell r="D20">
            <v>7</v>
          </cell>
          <cell r="E20">
            <v>0</v>
          </cell>
          <cell r="F20" t="str">
            <v>00.02.08</v>
          </cell>
          <cell r="G20">
            <v>77.324263038548807</v>
          </cell>
          <cell r="H20">
            <v>3.8662131519274401</v>
          </cell>
        </row>
        <row r="21">
          <cell r="B21" t="str">
            <v>Nakkapalli</v>
          </cell>
          <cell r="C21">
            <v>9</v>
          </cell>
          <cell r="D21">
            <v>9</v>
          </cell>
          <cell r="E21">
            <v>0</v>
          </cell>
          <cell r="F21" t="str">
            <v>00.01.06</v>
          </cell>
          <cell r="G21">
            <v>91.383219954648496</v>
          </cell>
          <cell r="H21">
            <v>4.5691609977324301</v>
          </cell>
        </row>
        <row r="22">
          <cell r="B22" t="str">
            <v>Narsipatnam Rural</v>
          </cell>
          <cell r="C22">
            <v>3</v>
          </cell>
          <cell r="D22">
            <v>3</v>
          </cell>
          <cell r="E22">
            <v>0</v>
          </cell>
          <cell r="F22" t="str">
            <v>00.01.03</v>
          </cell>
          <cell r="G22">
            <v>92.063492063492106</v>
          </cell>
          <cell r="H22">
            <v>4.6031746031746001</v>
          </cell>
        </row>
        <row r="23">
          <cell r="B23" t="str">
            <v>Narsipatnam Town</v>
          </cell>
          <cell r="C23">
            <v>15</v>
          </cell>
          <cell r="D23">
            <v>15</v>
          </cell>
          <cell r="E23">
            <v>0</v>
          </cell>
          <cell r="F23" t="str">
            <v>00.02.41</v>
          </cell>
          <cell r="G23">
            <v>69.841269841269806</v>
          </cell>
          <cell r="H23">
            <v>3.4920634920634899</v>
          </cell>
        </row>
        <row r="24">
          <cell r="B24" t="str">
            <v>Nathavaram</v>
          </cell>
          <cell r="C24">
            <v>6</v>
          </cell>
          <cell r="D24">
            <v>6</v>
          </cell>
          <cell r="E24">
            <v>0</v>
          </cell>
          <cell r="F24" t="str">
            <v>00.03.44</v>
          </cell>
          <cell r="G24">
            <v>55.5555555555556</v>
          </cell>
          <cell r="H24">
            <v>2.7777777777777799</v>
          </cell>
        </row>
        <row r="25">
          <cell r="B25" t="str">
            <v>Parawada</v>
          </cell>
          <cell r="C25">
            <v>18</v>
          </cell>
          <cell r="D25">
            <v>18</v>
          </cell>
          <cell r="E25">
            <v>0</v>
          </cell>
          <cell r="F25" t="str">
            <v>00.05.17</v>
          </cell>
          <cell r="G25">
            <v>34.467120181405903</v>
          </cell>
          <cell r="H25">
            <v>1.7233560090703</v>
          </cell>
        </row>
        <row r="26">
          <cell r="B26" t="str">
            <v>Payakaraopeta</v>
          </cell>
          <cell r="C26">
            <v>22</v>
          </cell>
          <cell r="D26">
            <v>22</v>
          </cell>
          <cell r="E26">
            <v>0</v>
          </cell>
          <cell r="F26" t="str">
            <v>00.02.03</v>
          </cell>
          <cell r="G26">
            <v>78.458049886621296</v>
          </cell>
          <cell r="H26">
            <v>3.92290249433107</v>
          </cell>
        </row>
        <row r="27">
          <cell r="B27" t="str">
            <v>Rambilli</v>
          </cell>
          <cell r="C27">
            <v>3</v>
          </cell>
          <cell r="D27">
            <v>3</v>
          </cell>
          <cell r="E27">
            <v>0</v>
          </cell>
          <cell r="F27" t="str">
            <v>00.03.48</v>
          </cell>
          <cell r="G27">
            <v>54.6485260770975</v>
          </cell>
          <cell r="H27">
            <v>2.7324263038548802</v>
          </cell>
        </row>
        <row r="28">
          <cell r="B28" t="str">
            <v>Ravikamatham</v>
          </cell>
          <cell r="C28">
            <v>2</v>
          </cell>
          <cell r="D28">
            <v>2</v>
          </cell>
          <cell r="E28">
            <v>0</v>
          </cell>
          <cell r="F28" t="str">
            <v>00.03.07</v>
          </cell>
          <cell r="G28">
            <v>63.945578231292501</v>
          </cell>
          <cell r="H28">
            <v>3.1972789115646298</v>
          </cell>
        </row>
        <row r="29">
          <cell r="B29" t="str">
            <v>Rolugunta</v>
          </cell>
          <cell r="C29">
            <v>4</v>
          </cell>
          <cell r="D29">
            <v>4</v>
          </cell>
          <cell r="E29">
            <v>0</v>
          </cell>
          <cell r="F29" t="str">
            <v>00.03.16</v>
          </cell>
          <cell r="G29">
            <v>61.904761904761898</v>
          </cell>
          <cell r="H29">
            <v>3.09523809523809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0</v>
          </cell>
          <cell r="F30" t="str">
            <v>00.03.05</v>
          </cell>
          <cell r="G30">
            <v>64.399092970521494</v>
          </cell>
          <cell r="H30">
            <v>3.2199546485260799</v>
          </cell>
        </row>
        <row r="31">
          <cell r="B31" t="str">
            <v>Sabbavaram</v>
          </cell>
          <cell r="C31">
            <v>15</v>
          </cell>
          <cell r="D31">
            <v>15</v>
          </cell>
          <cell r="E31">
            <v>0</v>
          </cell>
          <cell r="F31" t="str">
            <v>00.02.44</v>
          </cell>
          <cell r="G31">
            <v>69.160997732426296</v>
          </cell>
          <cell r="H31">
            <v>3.4580498866213198</v>
          </cell>
        </row>
        <row r="32">
          <cell r="B32" t="str">
            <v>V.Madugula</v>
          </cell>
          <cell r="C32">
            <v>6</v>
          </cell>
          <cell r="D32">
            <v>6</v>
          </cell>
          <cell r="E32">
            <v>0</v>
          </cell>
          <cell r="F32" t="str">
            <v>00.07.49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>
            <v>5</v>
          </cell>
          <cell r="D33">
            <v>5</v>
          </cell>
          <cell r="E33">
            <v>0</v>
          </cell>
          <cell r="F33" t="str">
            <v>00.03.53</v>
          </cell>
          <cell r="G33">
            <v>53.514739229024897</v>
          </cell>
          <cell r="H33">
            <v>2.6757369614512498</v>
          </cell>
        </row>
        <row r="34">
          <cell r="B34" t="str">
            <v>Yelamanchili Town</v>
          </cell>
          <cell r="C34">
            <v>5</v>
          </cell>
          <cell r="D34">
            <v>5</v>
          </cell>
          <cell r="E34">
            <v>0</v>
          </cell>
          <cell r="F34" t="str">
            <v>00.02.19</v>
          </cell>
          <cell r="G34">
            <v>74.829931972789097</v>
          </cell>
          <cell r="H34">
            <v>3.7414965986394599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50</v>
          </cell>
          <cell r="H35">
            <v>2.5</v>
          </cell>
        </row>
        <row r="36">
          <cell r="C36">
            <v>278</v>
          </cell>
          <cell r="D36">
            <v>278</v>
          </cell>
          <cell r="E36">
            <v>0</v>
          </cell>
          <cell r="F36">
            <v>4.3828295206971698E-3</v>
          </cell>
          <cell r="G36" t="e">
            <v>#DIV/0!</v>
          </cell>
          <cell r="H36">
            <v>3.4914422571411898</v>
          </cell>
        </row>
      </sheetData>
      <sheetData sheetId="19">
        <row r="2">
          <cell r="B2" t="str">
            <v>PS</v>
          </cell>
          <cell r="C2">
            <v>46289</v>
          </cell>
          <cell r="E2">
            <v>46290</v>
          </cell>
          <cell r="G2">
            <v>46291</v>
          </cell>
          <cell r="I2">
            <v>46292</v>
          </cell>
          <cell r="K2">
            <v>46293</v>
          </cell>
          <cell r="M2">
            <v>46294</v>
          </cell>
          <cell r="O2">
            <v>46295</v>
          </cell>
          <cell r="Q2" t="str">
            <v>MARKS</v>
          </cell>
          <cell r="R2" t="str">
            <v>RAW VALUE</v>
          </cell>
          <cell r="S2" t="str">
            <v>Total Alerts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11</v>
          </cell>
          <cell r="E4">
            <v>9</v>
          </cell>
          <cell r="G4">
            <v>10</v>
          </cell>
          <cell r="H4">
            <v>3</v>
          </cell>
          <cell r="I4">
            <v>5</v>
          </cell>
          <cell r="J4">
            <v>2</v>
          </cell>
          <cell r="K4">
            <v>8</v>
          </cell>
          <cell r="L4">
            <v>2</v>
          </cell>
          <cell r="M4">
            <v>105</v>
          </cell>
          <cell r="N4">
            <v>2</v>
          </cell>
          <cell r="O4">
            <v>12</v>
          </cell>
          <cell r="P4">
            <v>7</v>
          </cell>
          <cell r="Q4">
            <v>4.28571428571429</v>
          </cell>
          <cell r="R4">
            <v>85.714285714285694</v>
          </cell>
        </row>
        <row r="5">
          <cell r="B5" t="str">
            <v>Anakapalli Rural</v>
          </cell>
          <cell r="M5">
            <v>1</v>
          </cell>
          <cell r="O5">
            <v>1</v>
          </cell>
          <cell r="P5">
            <v>1</v>
          </cell>
          <cell r="Q5">
            <v>1.0714285714285701</v>
          </cell>
          <cell r="R5">
            <v>21.428571428571399</v>
          </cell>
          <cell r="S5">
            <v>6</v>
          </cell>
        </row>
        <row r="6">
          <cell r="B6" t="str">
            <v>Anakapalli Town</v>
          </cell>
          <cell r="C6">
            <v>1</v>
          </cell>
          <cell r="E6">
            <v>3</v>
          </cell>
          <cell r="G6">
            <v>2</v>
          </cell>
          <cell r="I6">
            <v>1</v>
          </cell>
          <cell r="K6">
            <v>3</v>
          </cell>
          <cell r="L6">
            <v>1</v>
          </cell>
          <cell r="M6">
            <v>4</v>
          </cell>
          <cell r="N6">
            <v>1</v>
          </cell>
          <cell r="O6">
            <v>2</v>
          </cell>
          <cell r="Q6">
            <v>3.21428571428571</v>
          </cell>
          <cell r="R6">
            <v>64.285714285714306</v>
          </cell>
          <cell r="S6">
            <v>55</v>
          </cell>
        </row>
        <row r="7">
          <cell r="B7" t="str">
            <v>Anakapalli Traffic</v>
          </cell>
          <cell r="G7">
            <v>1</v>
          </cell>
          <cell r="Q7">
            <v>0.35714285714285698</v>
          </cell>
          <cell r="R7">
            <v>7.1428571428571397</v>
          </cell>
        </row>
        <row r="8">
          <cell r="B8" t="str">
            <v>Atchutapuram</v>
          </cell>
          <cell r="C8">
            <v>11</v>
          </cell>
          <cell r="E8">
            <v>11</v>
          </cell>
          <cell r="I8">
            <v>1</v>
          </cell>
          <cell r="Q8">
            <v>1.0714285714285701</v>
          </cell>
          <cell r="R8">
            <v>21.428571428571399</v>
          </cell>
        </row>
        <row r="9">
          <cell r="B9" t="str">
            <v>Butchiyyapeta</v>
          </cell>
          <cell r="C9">
            <v>2</v>
          </cell>
          <cell r="E9">
            <v>1</v>
          </cell>
          <cell r="F9">
            <v>1</v>
          </cell>
          <cell r="G9">
            <v>2</v>
          </cell>
          <cell r="K9">
            <v>1</v>
          </cell>
          <cell r="L9">
            <v>1</v>
          </cell>
          <cell r="M9">
            <v>1</v>
          </cell>
          <cell r="Q9">
            <v>2.5</v>
          </cell>
          <cell r="R9">
            <v>50</v>
          </cell>
        </row>
        <row r="10">
          <cell r="B10" t="str">
            <v>Cheedikada</v>
          </cell>
          <cell r="Q10">
            <v>0</v>
          </cell>
          <cell r="R10">
            <v>0</v>
          </cell>
        </row>
        <row r="11">
          <cell r="B11" t="str">
            <v>Chodavaram</v>
          </cell>
          <cell r="M11">
            <v>1</v>
          </cell>
          <cell r="Q11">
            <v>0.35714285714285698</v>
          </cell>
          <cell r="R11">
            <v>7.1428571428571397</v>
          </cell>
          <cell r="S11">
            <v>6</v>
          </cell>
        </row>
        <row r="12">
          <cell r="B12" t="str">
            <v>Devarapalli</v>
          </cell>
          <cell r="C12">
            <v>1</v>
          </cell>
          <cell r="Q12">
            <v>0.35714285714285698</v>
          </cell>
          <cell r="R12">
            <v>7.1428571428571397</v>
          </cell>
          <cell r="S12">
            <v>5</v>
          </cell>
        </row>
        <row r="13">
          <cell r="B13" t="str">
            <v>Golugonda</v>
          </cell>
          <cell r="Q13">
            <v>0</v>
          </cell>
          <cell r="R13">
            <v>0</v>
          </cell>
          <cell r="S13">
            <v>1</v>
          </cell>
        </row>
        <row r="14">
          <cell r="B14" t="str">
            <v>K.D.Peta</v>
          </cell>
          <cell r="Q14">
            <v>0</v>
          </cell>
          <cell r="R14">
            <v>0</v>
          </cell>
        </row>
        <row r="15">
          <cell r="B15" t="str">
            <v>K.Kotapadu</v>
          </cell>
          <cell r="I15">
            <v>7</v>
          </cell>
          <cell r="Q15">
            <v>0.35714285714285698</v>
          </cell>
          <cell r="R15">
            <v>7.1428571428571397</v>
          </cell>
        </row>
        <row r="16">
          <cell r="B16" t="str">
            <v>Kasimkota</v>
          </cell>
          <cell r="K16">
            <v>2</v>
          </cell>
          <cell r="Q16">
            <v>0.35714285714285698</v>
          </cell>
          <cell r="R16">
            <v>7.1428571428571397</v>
          </cell>
          <cell r="S16">
            <v>6</v>
          </cell>
        </row>
        <row r="17">
          <cell r="B17" t="str">
            <v>Kotavurtla</v>
          </cell>
          <cell r="G17">
            <v>43</v>
          </cell>
          <cell r="M17">
            <v>37</v>
          </cell>
          <cell r="O17">
            <v>20</v>
          </cell>
          <cell r="Q17">
            <v>1.0714285714285701</v>
          </cell>
          <cell r="R17">
            <v>21.428571428571399</v>
          </cell>
        </row>
        <row r="18">
          <cell r="B18" t="str">
            <v>Kothakota</v>
          </cell>
          <cell r="Q18">
            <v>0</v>
          </cell>
          <cell r="R18">
            <v>0</v>
          </cell>
        </row>
        <row r="19">
          <cell r="B19" t="str">
            <v>Mahila UPS, Anakapalli</v>
          </cell>
          <cell r="Q19">
            <v>0</v>
          </cell>
          <cell r="R19">
            <v>0</v>
          </cell>
        </row>
        <row r="20">
          <cell r="B20" t="str">
            <v>Makavarapalem</v>
          </cell>
          <cell r="Q20">
            <v>0</v>
          </cell>
          <cell r="R20">
            <v>0</v>
          </cell>
        </row>
        <row r="21">
          <cell r="B21" t="str">
            <v>Munagapaka</v>
          </cell>
          <cell r="G21">
            <v>1</v>
          </cell>
          <cell r="K21">
            <v>1</v>
          </cell>
          <cell r="L21">
            <v>1</v>
          </cell>
          <cell r="M21">
            <v>3</v>
          </cell>
          <cell r="Q21">
            <v>1.4285714285714299</v>
          </cell>
          <cell r="R21">
            <v>28.571428571428601</v>
          </cell>
          <cell r="S21">
            <v>3</v>
          </cell>
        </row>
        <row r="22">
          <cell r="B22" t="str">
            <v>Nakkapalli</v>
          </cell>
          <cell r="I22">
            <v>11</v>
          </cell>
          <cell r="J22">
            <v>6</v>
          </cell>
          <cell r="Q22">
            <v>0.71428571428571397</v>
          </cell>
          <cell r="R22">
            <v>14.285714285714301</v>
          </cell>
        </row>
        <row r="23">
          <cell r="B23" t="str">
            <v>Narsipatnam Rural</v>
          </cell>
          <cell r="G23">
            <v>1</v>
          </cell>
          <cell r="Q23">
            <v>0.35714285714285698</v>
          </cell>
          <cell r="R23">
            <v>7.1428571428571397</v>
          </cell>
          <cell r="S23">
            <v>1</v>
          </cell>
        </row>
        <row r="24">
          <cell r="B24" t="str">
            <v>Narsipatnam Town</v>
          </cell>
          <cell r="D24">
            <v>1</v>
          </cell>
          <cell r="K24">
            <v>2</v>
          </cell>
          <cell r="O24">
            <v>4</v>
          </cell>
          <cell r="Q24">
            <v>1.0714285714285701</v>
          </cell>
          <cell r="R24">
            <v>21.428571428571399</v>
          </cell>
          <cell r="S24">
            <v>5</v>
          </cell>
        </row>
        <row r="25">
          <cell r="B25" t="str">
            <v>Nathavaram</v>
          </cell>
          <cell r="C25">
            <v>1</v>
          </cell>
          <cell r="K25">
            <v>1</v>
          </cell>
          <cell r="M25">
            <v>1</v>
          </cell>
          <cell r="Q25">
            <v>1.0714285714285701</v>
          </cell>
          <cell r="R25">
            <v>21.428571428571399</v>
          </cell>
          <cell r="S25">
            <v>5</v>
          </cell>
        </row>
        <row r="26">
          <cell r="B26" t="str">
            <v>Parawada</v>
          </cell>
          <cell r="E26">
            <v>1</v>
          </cell>
          <cell r="K26">
            <v>1</v>
          </cell>
          <cell r="M26">
            <v>2</v>
          </cell>
          <cell r="P26">
            <v>1</v>
          </cell>
          <cell r="Q26">
            <v>1.4285714285714299</v>
          </cell>
          <cell r="R26">
            <v>28.571428571428601</v>
          </cell>
          <cell r="S26">
            <v>2</v>
          </cell>
        </row>
        <row r="27">
          <cell r="B27" t="str">
            <v>Payakaraopeta</v>
          </cell>
          <cell r="C27">
            <v>3</v>
          </cell>
          <cell r="E27">
            <v>1</v>
          </cell>
          <cell r="G27">
            <v>1</v>
          </cell>
          <cell r="J27">
            <v>1</v>
          </cell>
          <cell r="K27">
            <v>2</v>
          </cell>
          <cell r="M27">
            <v>2</v>
          </cell>
          <cell r="O27">
            <v>2</v>
          </cell>
          <cell r="Q27">
            <v>2.5</v>
          </cell>
          <cell r="R27">
            <v>50</v>
          </cell>
          <cell r="S27">
            <v>11</v>
          </cell>
        </row>
        <row r="28">
          <cell r="B28" t="str">
            <v>Rambilli</v>
          </cell>
          <cell r="H28">
            <v>1</v>
          </cell>
          <cell r="K28">
            <v>2</v>
          </cell>
          <cell r="Q28">
            <v>0.71428571428571397</v>
          </cell>
          <cell r="R28">
            <v>14.285714285714301</v>
          </cell>
          <cell r="S28">
            <v>1</v>
          </cell>
        </row>
        <row r="29">
          <cell r="B29" t="str">
            <v>Ravikamatham</v>
          </cell>
          <cell r="Q29">
            <v>0</v>
          </cell>
          <cell r="R29">
            <v>0</v>
          </cell>
        </row>
        <row r="30">
          <cell r="B30" t="str">
            <v>Rolugunta</v>
          </cell>
          <cell r="M30">
            <v>1</v>
          </cell>
          <cell r="Q30">
            <v>0.35714285714285698</v>
          </cell>
          <cell r="R30">
            <v>7.1428571428571397</v>
          </cell>
          <cell r="S30">
            <v>1</v>
          </cell>
        </row>
        <row r="31">
          <cell r="B31" t="str">
            <v>S.Rayavaram</v>
          </cell>
          <cell r="O31">
            <v>1</v>
          </cell>
          <cell r="Q31">
            <v>0.35714285714285698</v>
          </cell>
          <cell r="R31">
            <v>7.1428571428571397</v>
          </cell>
          <cell r="S31">
            <v>3</v>
          </cell>
        </row>
        <row r="32">
          <cell r="B32" t="str">
            <v>Sabbavaram</v>
          </cell>
          <cell r="J32">
            <v>1</v>
          </cell>
          <cell r="M32">
            <v>2</v>
          </cell>
          <cell r="O32">
            <v>1</v>
          </cell>
          <cell r="Q32">
            <v>1.0714285714285701</v>
          </cell>
          <cell r="R32">
            <v>21.428571428571399</v>
          </cell>
        </row>
        <row r="33">
          <cell r="B33" t="str">
            <v>V.Madugula</v>
          </cell>
          <cell r="Q33">
            <v>0</v>
          </cell>
          <cell r="R33">
            <v>0</v>
          </cell>
        </row>
        <row r="34">
          <cell r="B34" t="str">
            <v>Yelamanchili Rural</v>
          </cell>
          <cell r="C34">
            <v>6</v>
          </cell>
          <cell r="G34">
            <v>1</v>
          </cell>
          <cell r="I34">
            <v>1</v>
          </cell>
          <cell r="Q34">
            <v>1.0714285714285701</v>
          </cell>
          <cell r="R34">
            <v>21.428571428571399</v>
          </cell>
          <cell r="S34">
            <v>7</v>
          </cell>
        </row>
        <row r="35">
          <cell r="B35" t="str">
            <v>Yelamanchili Town</v>
          </cell>
          <cell r="E35">
            <v>2</v>
          </cell>
          <cell r="M35">
            <v>1</v>
          </cell>
          <cell r="O35">
            <v>3</v>
          </cell>
          <cell r="Q35">
            <v>1.0714285714285701</v>
          </cell>
          <cell r="R35">
            <v>21.428571428571399</v>
          </cell>
          <cell r="S35">
            <v>3</v>
          </cell>
        </row>
        <row r="36">
          <cell r="B36" t="str">
            <v>Yelamanchili Traffic</v>
          </cell>
          <cell r="Q36">
            <v>0</v>
          </cell>
          <cell r="R36">
            <v>0</v>
          </cell>
        </row>
        <row r="37">
          <cell r="C37">
            <v>36</v>
          </cell>
          <cell r="D37">
            <v>1</v>
          </cell>
          <cell r="E37">
            <v>28</v>
          </cell>
          <cell r="F37">
            <v>1</v>
          </cell>
          <cell r="G37">
            <v>62</v>
          </cell>
          <cell r="H37">
            <v>4</v>
          </cell>
          <cell r="I37">
            <v>26</v>
          </cell>
          <cell r="J37">
            <v>10</v>
          </cell>
          <cell r="K37">
            <v>23</v>
          </cell>
          <cell r="L37">
            <v>5</v>
          </cell>
          <cell r="M37">
            <v>161</v>
          </cell>
          <cell r="N37">
            <v>3</v>
          </cell>
          <cell r="O37">
            <v>46</v>
          </cell>
          <cell r="P37">
            <v>9</v>
          </cell>
          <cell r="Q37">
            <v>0.85497835497835495</v>
          </cell>
          <cell r="R37">
            <v>17.0995670995671</v>
          </cell>
          <cell r="S37">
            <v>121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C4">
            <v>1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Anakapalli Town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C7">
            <v>5</v>
          </cell>
          <cell r="D7">
            <v>4</v>
          </cell>
          <cell r="E7">
            <v>80</v>
          </cell>
          <cell r="F7">
            <v>4</v>
          </cell>
        </row>
        <row r="8">
          <cell r="B8" t="str">
            <v>Butchiyyapeta</v>
          </cell>
          <cell r="E8">
            <v>100</v>
          </cell>
          <cell r="F8">
            <v>5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C10">
            <v>1</v>
          </cell>
          <cell r="D10">
            <v>1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E12">
            <v>100</v>
          </cell>
          <cell r="F12">
            <v>5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E14">
            <v>100</v>
          </cell>
          <cell r="F14">
            <v>5</v>
          </cell>
        </row>
        <row r="15">
          <cell r="B15" t="str">
            <v>Kasimkota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E19">
            <v>100</v>
          </cell>
          <cell r="F19">
            <v>5</v>
          </cell>
        </row>
        <row r="20">
          <cell r="B20" t="str">
            <v>Munagapaka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100</v>
          </cell>
          <cell r="F26">
            <v>5</v>
          </cell>
        </row>
        <row r="27">
          <cell r="B27" t="str">
            <v>Rambilli</v>
          </cell>
          <cell r="E27">
            <v>100</v>
          </cell>
          <cell r="F27">
            <v>5</v>
          </cell>
        </row>
        <row r="28">
          <cell r="B28" t="str">
            <v>Ravikamatham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C31">
            <v>3</v>
          </cell>
          <cell r="D31">
            <v>1</v>
          </cell>
          <cell r="E31">
            <v>33.3333333333333</v>
          </cell>
          <cell r="F31">
            <v>1.6666666666666701</v>
          </cell>
        </row>
        <row r="32">
          <cell r="B32" t="str">
            <v>V.Madugula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</row>
        <row r="33">
          <cell r="B33" t="str">
            <v>Yelamanchili Rural</v>
          </cell>
          <cell r="C33">
            <v>2</v>
          </cell>
          <cell r="D33">
            <v>2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2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3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DF7D-1B7C-48F4-88F7-1DE4FF03AC38}">
  <sheetPr>
    <tabColor rgb="FF00B0F0"/>
    <pageSetUpPr fitToPage="1"/>
  </sheetPr>
  <dimension ref="A1:Y35"/>
  <sheetViews>
    <sheetView tabSelected="1" workbookViewId="0">
      <pane ySplit="2" topLeftCell="A3" activePane="bottomLeft" state="frozen"/>
      <selection pane="bottomLeft" activeCell="AA15" sqref="AA15"/>
    </sheetView>
  </sheetViews>
  <sheetFormatPr defaultColWidth="9" defaultRowHeight="15"/>
  <cols>
    <col min="1" max="1" width="23.5703125" customWidth="1"/>
    <col min="2" max="25" width="7" style="10" customWidth="1"/>
  </cols>
  <sheetData>
    <row r="1" spans="1:25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3.7" customHeight="1">
      <c r="A2" s="4" t="s">
        <v>25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0.05</v>
      </c>
      <c r="Q2" s="6">
        <v>0.05</v>
      </c>
      <c r="R2" s="6">
        <v>0.05</v>
      </c>
      <c r="S2" s="6">
        <v>0.05</v>
      </c>
      <c r="T2" s="6">
        <v>0.05</v>
      </c>
      <c r="U2" s="6">
        <v>0.05</v>
      </c>
      <c r="V2" s="6">
        <v>0.05</v>
      </c>
      <c r="W2" s="6">
        <v>0.05</v>
      </c>
      <c r="X2" s="5">
        <v>2.5000000000000001E-2</v>
      </c>
      <c r="Y2" s="5">
        <v>2.5000000000000001E-2</v>
      </c>
    </row>
    <row r="3" spans="1:25" s="9" customFormat="1" ht="26.1" customHeight="1">
      <c r="A3" s="7" t="s">
        <v>26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50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VLOOKUP(A3,'[1]11_CRIMAC'!B:F,4,0)</f>
        <v>100</v>
      </c>
      <c r="M3" s="8">
        <f>VLOOKUP(A3,'[1]12_CEIR'!B:L,10,0)</f>
        <v>50</v>
      </c>
      <c r="N3" s="8">
        <f>VLOOKUP(A3,'[1]13_EPROSEC'!B:H,4,0)</f>
        <v>100</v>
      </c>
      <c r="O3" s="8">
        <f>VLOOKUP(A3,'[1]14_FIR_CS_COURT'!B:L,11,0)</f>
        <v>77.371246768741301</v>
      </c>
      <c r="P3" s="8">
        <f>VLOOKUP(A3,'[1]15_EOFFICE'!B:K,9,0)</f>
        <v>0</v>
      </c>
      <c r="Q3" s="8">
        <f>VLOOKUP(A3,'[1]16_APOLIS'!B:K,10,0)</f>
        <v>63.636363636363598</v>
      </c>
      <c r="R3" s="8">
        <f>VLOOKUP(A3,'[1]17_DRONE_FLYING'!B:J,9,0)</f>
        <v>50</v>
      </c>
      <c r="S3" s="8">
        <f>VLOOKUP(A3,'[1]18_112_TABS'!B:H,6,0)</f>
        <v>100</v>
      </c>
      <c r="T3" s="8">
        <f>VLOOKUP(A3,'[1]19_DIAL100_RES'!B:H,6,0)</f>
        <v>96.371882086167801</v>
      </c>
      <c r="U3" s="8">
        <f>VLOOKUP(A3,'[1]20_CCTV_360'!B:S,17,0)</f>
        <v>85.714285714285694</v>
      </c>
      <c r="V3" s="8">
        <f>VLOOKUP(A3,'[1]21_NEWS360AI'!B:D,2,0)</f>
        <v>0</v>
      </c>
      <c r="W3" s="8">
        <f>VLOOKUP(A3,'[1]22_eFSL'!B:F,4,0)</f>
        <v>100</v>
      </c>
      <c r="X3" s="8">
        <f>VLOOKUP(A3,'[1]23_UC3'!B:D,2,0)</f>
        <v>0</v>
      </c>
      <c r="Y3" s="8">
        <f>VLOOKUP(A3,'[1]23_UC4'!B:D,3,0)</f>
        <v>0</v>
      </c>
    </row>
    <row r="4" spans="1:25" s="9" customFormat="1" ht="26.1" customHeight="1">
      <c r="A4" s="7" t="s">
        <v>27</v>
      </c>
      <c r="B4" s="8">
        <f>VLOOKUP(A4,'[1]1_MEDLEAPR_PME'!B:H,6,0)</f>
        <v>100</v>
      </c>
      <c r="C4" s="8">
        <f>VLOOKUP(A4,'[1]2_MEDLEAPR_MLC'!B:I,6,0)</f>
        <v>100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96.48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42.647058823529399</v>
      </c>
      <c r="L4" s="8">
        <f>VLOOKUP(A4,'[1]11_CRIMAC'!B:F,4,0)</f>
        <v>100</v>
      </c>
      <c r="M4" s="8">
        <f>VLOOKUP(A4,'[1]12_CEIR'!B:L,10,0)</f>
        <v>50</v>
      </c>
      <c r="N4" s="8">
        <f>VLOOKUP(A4,'[1]13_EPROSEC'!B:H,4,0)</f>
        <v>16.6666666666667</v>
      </c>
      <c r="O4" s="8">
        <f>VLOOKUP(A4,'[1]14_FIR_CS_COURT'!B:L,11,0)</f>
        <v>71.885706850939002</v>
      </c>
      <c r="P4" s="8">
        <f>VLOOKUP(A4,'[1]15_EOFFICE'!B:K,9,0)</f>
        <v>0</v>
      </c>
      <c r="Q4" s="8">
        <f>VLOOKUP(A4,'[1]16_APOLIS'!B:K,10,0)</f>
        <v>61.764705882352899</v>
      </c>
      <c r="R4" s="8">
        <f>VLOOKUP(A4,'[1]17_DRONE_FLYING'!B:J,9,0)</f>
        <v>57</v>
      </c>
      <c r="S4" s="8">
        <f>VLOOKUP(A4,'[1]18_112_TABS'!B:H,6,0)</f>
        <v>100</v>
      </c>
      <c r="T4" s="8">
        <f>VLOOKUP(A4,'[1]19_DIAL100_RES'!B:H,6,0)</f>
        <v>62.585034013605402</v>
      </c>
      <c r="U4" s="8">
        <f>VLOOKUP(A4,'[1]20_CCTV_360'!B:S,17,0)</f>
        <v>21.428571428571399</v>
      </c>
      <c r="V4" s="8">
        <f>VLOOKUP(A4,'[1]21_NEWS360AI'!B:D,2,0)</f>
        <v>0</v>
      </c>
      <c r="W4" s="8">
        <f>VLOOKUP(A4,'[1]22_eFSL'!B:F,4,0)</f>
        <v>0</v>
      </c>
      <c r="X4" s="8">
        <f>VLOOKUP(A4,'[1]23_UC3'!B:D,2,0)</f>
        <v>0</v>
      </c>
      <c r="Y4" s="8">
        <f>VLOOKUP(A4,'[1]23_UC4'!B:D,3,0)</f>
        <v>0</v>
      </c>
    </row>
    <row r="5" spans="1:25" s="9" customFormat="1" ht="26.1" customHeight="1">
      <c r="A5" s="7" t="s">
        <v>28</v>
      </c>
      <c r="B5" s="8">
        <f>VLOOKUP(A5,'[1]1_MEDLEAPR_PME'!B:H,6,0)</f>
        <v>100</v>
      </c>
      <c r="C5" s="8" t="str">
        <f>VLOOKUP(A5,'[1]2_MEDLEAPR_MLC'!B:I,6,0)</f>
        <v>100.00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80.739999999999995</v>
      </c>
      <c r="G5" s="8">
        <f>VLOOKUP(A5,'[1]6_CCTNS_1_7'!B:P,13,0)</f>
        <v>74.040000000000006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37.6237623762376</v>
      </c>
      <c r="L5" s="8">
        <f>VLOOKUP(A5,'[1]11_CRIMAC'!B:F,4,0)</f>
        <v>100</v>
      </c>
      <c r="M5" s="8">
        <f>VLOOKUP(A5,'[1]12_CEIR'!B:L,10,0)</f>
        <v>50</v>
      </c>
      <c r="N5" s="8">
        <f>VLOOKUP(A5,'[1]13_EPROSEC'!B:H,4,0)</f>
        <v>12.5</v>
      </c>
      <c r="O5" s="8">
        <f>VLOOKUP(A5,'[1]14_FIR_CS_COURT'!B:L,11,0)</f>
        <v>68.563210790796106</v>
      </c>
      <c r="P5" s="8">
        <f>VLOOKUP(A5,'[1]15_EOFFICE'!B:K,9,0)</f>
        <v>0</v>
      </c>
      <c r="Q5" s="8">
        <f>VLOOKUP(A5,'[1]16_APOLIS'!B:K,10,0)</f>
        <v>64.1666666666667</v>
      </c>
      <c r="R5" s="8">
        <f>VLOOKUP(A5,'[1]17_DRONE_FLYING'!B:J,9,0)</f>
        <v>61</v>
      </c>
      <c r="S5" s="8">
        <f>VLOOKUP(A5,'[1]18_112_TABS'!B:H,6,0)</f>
        <v>100</v>
      </c>
      <c r="T5" s="8">
        <f>VLOOKUP(A5,'[1]19_DIAL100_RES'!B:H,6,0)</f>
        <v>66.213151927437593</v>
      </c>
      <c r="U5" s="8">
        <f>VLOOKUP(A5,'[1]20_CCTV_360'!B:S,17,0)</f>
        <v>64.285714285714306</v>
      </c>
      <c r="V5" s="8">
        <f>VLOOKUP(A5,'[1]21_NEWS360AI'!B:D,2,0)</f>
        <v>0</v>
      </c>
      <c r="W5" s="8">
        <f>VLOOKUP(A5,'[1]22_eFSL'!B:F,4,0)</f>
        <v>100</v>
      </c>
      <c r="X5" s="8">
        <f>VLOOKUP(A5,'[1]23_UC3'!B:D,2,0)</f>
        <v>0</v>
      </c>
      <c r="Y5" s="8">
        <f>VLOOKUP(A5,'[1]23_UC4'!B:D,3,0)</f>
        <v>0</v>
      </c>
    </row>
    <row r="6" spans="1:25" s="9" customFormat="1" ht="26.1" customHeight="1">
      <c r="A6" s="7" t="s">
        <v>29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59.23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53.246753246753201</v>
      </c>
      <c r="L6" s="8">
        <f>VLOOKUP(A6,'[1]11_CRIMAC'!B:F,4,0)</f>
        <v>100</v>
      </c>
      <c r="M6" s="8">
        <f>VLOOKUP(A6,'[1]12_CEIR'!B:L,10,0)</f>
        <v>50</v>
      </c>
      <c r="N6" s="8">
        <f>VLOOKUP(A6,'[1]13_EPROSEC'!B:H,4,0)</f>
        <v>100</v>
      </c>
      <c r="O6" s="8">
        <f>VLOOKUP(A6,'[1]14_FIR_CS_COURT'!B:L,11,0)</f>
        <v>75.4571299347419</v>
      </c>
      <c r="P6" s="8">
        <f>VLOOKUP(A6,'[1]15_EOFFICE'!B:K,9,0)</f>
        <v>0</v>
      </c>
      <c r="Q6" s="8">
        <f>VLOOKUP(A6,'[1]16_APOLIS'!B:K,10,0)</f>
        <v>66.6666666666667</v>
      </c>
      <c r="R6" s="8">
        <f>VLOOKUP(A6,'[1]17_DRONE_FLYING'!B:J,9,0)</f>
        <v>61</v>
      </c>
      <c r="S6" s="8">
        <f>VLOOKUP(A6,'[1]18_112_TABS'!B:H,6,0)</f>
        <v>100</v>
      </c>
      <c r="T6" s="8">
        <f>VLOOKUP(A6,'[1]19_DIAL100_RES'!B:H,6,0)</f>
        <v>50</v>
      </c>
      <c r="U6" s="8">
        <f>VLOOKUP(A6,'[1]20_CCTV_360'!B:S,17,0)</f>
        <v>7.1428571428571397</v>
      </c>
      <c r="V6" s="8">
        <f>VLOOKUP(A6,'[1]21_NEWS360AI'!B:D,2,0)</f>
        <v>0</v>
      </c>
      <c r="W6" s="8">
        <f>VLOOKUP(A6,'[1]22_eFSL'!B:F,4,0)</f>
        <v>100</v>
      </c>
      <c r="X6" s="8">
        <f>VLOOKUP(A6,'[1]23_UC3'!B:D,2,0)</f>
        <v>0</v>
      </c>
      <c r="Y6" s="8">
        <f>VLOOKUP(A6,'[1]23_UC4'!B:D,3,0)</f>
        <v>0</v>
      </c>
    </row>
    <row r="7" spans="1:25" s="9" customFormat="1" ht="26.1" customHeight="1">
      <c r="A7" s="7" t="s">
        <v>30</v>
      </c>
      <c r="B7" s="8">
        <f>VLOOKUP(A7,'[1]1_MEDLEAPR_PME'!B:H,6,0)</f>
        <v>100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96.1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52.189141856392297</v>
      </c>
      <c r="L7" s="8">
        <f>VLOOKUP(A7,'[1]11_CRIMAC'!B:F,4,0)</f>
        <v>100</v>
      </c>
      <c r="M7" s="8">
        <f>VLOOKUP(A7,'[1]12_CEIR'!B:L,10,0)</f>
        <v>50</v>
      </c>
      <c r="N7" s="8">
        <f>VLOOKUP(A7,'[1]13_EPROSEC'!B:H,4,0)</f>
        <v>25</v>
      </c>
      <c r="O7" s="8">
        <f>VLOOKUP(A7,'[1]14_FIR_CS_COURT'!B:L,11,0)</f>
        <v>81.298185941043101</v>
      </c>
      <c r="P7" s="8">
        <f>VLOOKUP(A7,'[1]15_EOFFICE'!B:K,9,0)</f>
        <v>0</v>
      </c>
      <c r="Q7" s="8">
        <f>VLOOKUP(A7,'[1]16_APOLIS'!B:K,10,0)</f>
        <v>67.647058823529406</v>
      </c>
      <c r="R7" s="8">
        <f>VLOOKUP(A7,'[1]17_DRONE_FLYING'!B:J,9,0)</f>
        <v>51</v>
      </c>
      <c r="S7" s="8">
        <f>VLOOKUP(A7,'[1]18_112_TABS'!B:H,6,0)</f>
        <v>100</v>
      </c>
      <c r="T7" s="8">
        <f>VLOOKUP(A7,'[1]19_DIAL100_RES'!B:H,6,0)</f>
        <v>57.142857142857103</v>
      </c>
      <c r="U7" s="8">
        <f>VLOOKUP(A7,'[1]20_CCTV_360'!B:S,17,0)</f>
        <v>21.428571428571399</v>
      </c>
      <c r="V7" s="8">
        <f>VLOOKUP(A7,'[1]21_NEWS360AI'!B:D,2,0)</f>
        <v>0</v>
      </c>
      <c r="W7" s="8">
        <f>VLOOKUP(A7,'[1]22_eFSL'!B:F,4,0)</f>
        <v>80</v>
      </c>
      <c r="X7" s="8">
        <f>VLOOKUP(A7,'[1]23_UC3'!B:D,2,0)</f>
        <v>0</v>
      </c>
      <c r="Y7" s="8">
        <f>VLOOKUP(A7,'[1]23_UC4'!B:D,3,0)</f>
        <v>0</v>
      </c>
    </row>
    <row r="8" spans="1:25" s="9" customFormat="1" ht="26.1" customHeight="1">
      <c r="A8" s="7" t="s">
        <v>31</v>
      </c>
      <c r="B8" s="8">
        <f>VLOOKUP(A8,'[1]1_MEDLEAPR_PME'!B:H,6,0)</f>
        <v>100</v>
      </c>
      <c r="C8" s="8" t="str">
        <f>VLOOKUP(A8,'[1]2_MEDLEAPR_MLC'!B:I,6,0)</f>
        <v>100.00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89.84</v>
      </c>
      <c r="G8" s="8">
        <f>VLOOKUP(A8,'[1]6_CCTNS_1_7'!B:P,13,0)</f>
        <v>81.44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97.941176470588204</v>
      </c>
      <c r="L8" s="8">
        <f>VLOOKUP(A8,'[1]11_CRIMAC'!B:F,4,0)</f>
        <v>100</v>
      </c>
      <c r="M8" s="8">
        <f>VLOOKUP(A8,'[1]12_CEIR'!B:L,10,0)</f>
        <v>50</v>
      </c>
      <c r="N8" s="8">
        <f>VLOOKUP(A8,'[1]13_EPROSEC'!B:H,4,0)</f>
        <v>100</v>
      </c>
      <c r="O8" s="8">
        <f>VLOOKUP(A8,'[1]14_FIR_CS_COURT'!B:L,11,0)</f>
        <v>84.037131416090304</v>
      </c>
      <c r="P8" s="8">
        <f>VLOOKUP(A8,'[1]15_EOFFICE'!B:K,9,0)</f>
        <v>0</v>
      </c>
      <c r="Q8" s="8">
        <f>VLOOKUP(A8,'[1]16_APOLIS'!B:K,10,0)</f>
        <v>65</v>
      </c>
      <c r="R8" s="8">
        <f>VLOOKUP(A8,'[1]17_DRONE_FLYING'!B:J,9,0)</f>
        <v>51</v>
      </c>
      <c r="S8" s="8">
        <f>VLOOKUP(A8,'[1]18_112_TABS'!B:H,6,0)</f>
        <v>100</v>
      </c>
      <c r="T8" s="8">
        <f>VLOOKUP(A8,'[1]19_DIAL100_RES'!B:H,6,0)</f>
        <v>74.829931972789097</v>
      </c>
      <c r="U8" s="8">
        <f>VLOOKUP(A8,'[1]20_CCTV_360'!B:S,17,0)</f>
        <v>50</v>
      </c>
      <c r="V8" s="8">
        <f>VLOOKUP(A8,'[1]21_NEWS360AI'!B:D,2,0)</f>
        <v>0</v>
      </c>
      <c r="W8" s="8">
        <f>VLOOKUP(A8,'[1]22_eFSL'!B:F,4,0)</f>
        <v>100</v>
      </c>
      <c r="X8" s="8">
        <f>VLOOKUP(A8,'[1]23_UC3'!B:D,2,0)</f>
        <v>0</v>
      </c>
      <c r="Y8" s="8">
        <f>VLOOKUP(A8,'[1]23_UC4'!B:D,3,0)</f>
        <v>0</v>
      </c>
    </row>
    <row r="9" spans="1:25" s="9" customFormat="1" ht="26.1" customHeight="1">
      <c r="A9" s="7" t="s">
        <v>32</v>
      </c>
      <c r="B9" s="8" t="str">
        <f>VLOOKUP(A9,'[1]1_MEDLEAPR_PME'!B:H,6,0)</f>
        <v>100.00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50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97.727272727272705</v>
      </c>
      <c r="L9" s="8">
        <f>VLOOKUP(A9,'[1]11_CRIMAC'!B:F,4,0)</f>
        <v>100</v>
      </c>
      <c r="M9" s="8">
        <f>VLOOKUP(A9,'[1]12_CEIR'!B:L,10,0)</f>
        <v>50</v>
      </c>
      <c r="N9" s="8">
        <f>VLOOKUP(A9,'[1]13_EPROSEC'!B:H,4,0)</f>
        <v>100</v>
      </c>
      <c r="O9" s="8">
        <f>VLOOKUP(A9,'[1]14_FIR_CS_COURT'!B:L,11,0)</f>
        <v>82.743857036485494</v>
      </c>
      <c r="P9" s="8">
        <f>VLOOKUP(A9,'[1]15_EOFFICE'!B:K,9,0)</f>
        <v>0</v>
      </c>
      <c r="Q9" s="8">
        <f>VLOOKUP(A9,'[1]16_APOLIS'!B:K,10,0)</f>
        <v>61.1111111111111</v>
      </c>
      <c r="R9" s="8">
        <f>VLOOKUP(A9,'[1]17_DRONE_FLYING'!B:J,9,0)</f>
        <v>51</v>
      </c>
      <c r="S9" s="8">
        <f>VLOOKUP(A9,'[1]18_112_TABS'!B:H,6,0)</f>
        <v>100</v>
      </c>
      <c r="T9" s="8">
        <f>VLOOKUP(A9,'[1]19_DIAL100_RES'!B:H,6,0)</f>
        <v>75.510204081632693</v>
      </c>
      <c r="U9" s="8">
        <f>VLOOKUP(A9,'[1]20_CCTV_360'!B:S,17,0)</f>
        <v>0</v>
      </c>
      <c r="V9" s="8">
        <f>VLOOKUP(A9,'[1]21_NEWS360AI'!B:D,2,0)</f>
        <v>0</v>
      </c>
      <c r="W9" s="8">
        <f>VLOOKUP(A9,'[1]22_eFSL'!B:F,4,0)</f>
        <v>100</v>
      </c>
      <c r="X9" s="8">
        <f>VLOOKUP(A9,'[1]23_UC3'!B:D,2,0)</f>
        <v>0</v>
      </c>
      <c r="Y9" s="8">
        <f>VLOOKUP(A9,'[1]23_UC4'!B:D,3,0)</f>
        <v>0</v>
      </c>
    </row>
    <row r="10" spans="1:25" s="9" customFormat="1" ht="26.1" customHeight="1">
      <c r="A10" s="7" t="s">
        <v>33</v>
      </c>
      <c r="B10" s="8" t="str">
        <f>VLOOKUP(A10,'[1]1_MEDLEAPR_PME'!B:H,6,0)</f>
        <v>100.00</v>
      </c>
      <c r="C10" s="8">
        <f>VLOOKUP(A10,'[1]2_MEDLEAPR_MLC'!B:I,6,0)</f>
        <v>100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94.4</v>
      </c>
      <c r="G10" s="8">
        <f>VLOOKUP(A10,'[1]6_CCTNS_1_7'!B:P,13,0)</f>
        <v>74.040000000000006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64.660493827160494</v>
      </c>
      <c r="L10" s="8">
        <f>VLOOKUP(A10,'[1]11_CRIMAC'!B:F,4,0)</f>
        <v>100</v>
      </c>
      <c r="M10" s="8">
        <f>VLOOKUP(A10,'[1]12_CEIR'!B:L,10,0)</f>
        <v>50</v>
      </c>
      <c r="N10" s="8">
        <f>VLOOKUP(A10,'[1]13_EPROSEC'!B:H,4,0)</f>
        <v>33.3333333333333</v>
      </c>
      <c r="O10" s="8">
        <f>VLOOKUP(A10,'[1]14_FIR_CS_COURT'!B:L,11,0)</f>
        <v>82.566220823498597</v>
      </c>
      <c r="P10" s="8">
        <f>VLOOKUP(A10,'[1]15_EOFFICE'!B:K,9,0)</f>
        <v>0</v>
      </c>
      <c r="Q10" s="8">
        <f>VLOOKUP(A10,'[1]16_APOLIS'!B:K,10,0)</f>
        <v>62.5</v>
      </c>
      <c r="R10" s="8">
        <f>VLOOKUP(A10,'[1]17_DRONE_FLYING'!B:J,9,0)</f>
        <v>51</v>
      </c>
      <c r="S10" s="8">
        <f>VLOOKUP(A10,'[1]18_112_TABS'!B:H,6,0)</f>
        <v>100</v>
      </c>
      <c r="T10" s="8">
        <f>VLOOKUP(A10,'[1]19_DIAL100_RES'!B:H,6,0)</f>
        <v>34.6938775510204</v>
      </c>
      <c r="U10" s="8">
        <f>VLOOKUP(A10,'[1]20_CCTV_360'!B:S,17,0)</f>
        <v>7.1428571428571397</v>
      </c>
      <c r="V10" s="8">
        <f>VLOOKUP(A10,'[1]21_NEWS360AI'!B:D,2,0)</f>
        <v>0</v>
      </c>
      <c r="W10" s="8">
        <f>VLOOKUP(A10,'[1]22_eFSL'!B:F,4,0)</f>
        <v>100</v>
      </c>
      <c r="X10" s="8">
        <f>VLOOKUP(A10,'[1]23_UC3'!B:D,2,0)</f>
        <v>0</v>
      </c>
      <c r="Y10" s="8">
        <f>VLOOKUP(A10,'[1]23_UC4'!B:D,3,0)</f>
        <v>0</v>
      </c>
    </row>
    <row r="11" spans="1:25" s="9" customFormat="1" ht="26.1" customHeight="1">
      <c r="A11" s="7" t="s">
        <v>34</v>
      </c>
      <c r="B11" s="8" t="str">
        <f>VLOOKUP(A11,'[1]1_MEDLEAPR_PME'!B:H,6,0)</f>
        <v>100.00</v>
      </c>
      <c r="C11" s="8" t="str">
        <f>VLOOKUP(A11,'[1]2_MEDLEAPR_MLC'!B:I,6,0)</f>
        <v>100.00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88.18</v>
      </c>
      <c r="G11" s="8">
        <f>VLOOKUP(A11,'[1]6_CCTNS_1_7'!B:P,13,0)</f>
        <v>50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85.310734463276802</v>
      </c>
      <c r="L11" s="8">
        <f>VLOOKUP(A11,'[1]11_CRIMAC'!B:F,4,0)</f>
        <v>100</v>
      </c>
      <c r="M11" s="8">
        <f>VLOOKUP(A11,'[1]12_CEIR'!B:L,10,0)</f>
        <v>50</v>
      </c>
      <c r="N11" s="8">
        <f>VLOOKUP(A11,'[1]13_EPROSEC'!B:H,4,0)</f>
        <v>100</v>
      </c>
      <c r="O11" s="8">
        <f>VLOOKUP(A11,'[1]14_FIR_CS_COURT'!B:L,11,0)</f>
        <v>77.562253264500498</v>
      </c>
      <c r="P11" s="8">
        <f>VLOOKUP(A11,'[1]15_EOFFICE'!B:K,9,0)</f>
        <v>0</v>
      </c>
      <c r="Q11" s="8">
        <f>VLOOKUP(A11,'[1]16_APOLIS'!B:K,10,0)</f>
        <v>65</v>
      </c>
      <c r="R11" s="8">
        <f>VLOOKUP(A11,'[1]17_DRONE_FLYING'!B:J,9,0)</f>
        <v>51</v>
      </c>
      <c r="S11" s="8">
        <f>VLOOKUP(A11,'[1]18_112_TABS'!B:H,6,0)</f>
        <v>100</v>
      </c>
      <c r="T11" s="8">
        <f>VLOOKUP(A11,'[1]19_DIAL100_RES'!B:H,6,0)</f>
        <v>76.8707482993197</v>
      </c>
      <c r="U11" s="8">
        <f>VLOOKUP(A11,'[1]20_CCTV_360'!B:S,17,0)</f>
        <v>7.1428571428571397</v>
      </c>
      <c r="V11" s="8">
        <f>VLOOKUP(A11,'[1]21_NEWS360AI'!B:D,2,0)</f>
        <v>0</v>
      </c>
      <c r="W11" s="8">
        <f>VLOOKUP(A11,'[1]22_eFSL'!B:F,4,0)</f>
        <v>100</v>
      </c>
      <c r="X11" s="8">
        <f>VLOOKUP(A11,'[1]23_UC3'!B:D,2,0)</f>
        <v>0</v>
      </c>
      <c r="Y11" s="8">
        <f>VLOOKUP(A11,'[1]23_UC4'!B:D,3,0)</f>
        <v>0</v>
      </c>
    </row>
    <row r="12" spans="1:25" s="9" customFormat="1" ht="26.1" customHeight="1">
      <c r="A12" s="7" t="s">
        <v>35</v>
      </c>
      <c r="B12" s="8">
        <f>VLOOKUP(A12,'[1]1_MEDLEAPR_PME'!B:H,6,0)</f>
        <v>100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100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60</v>
      </c>
      <c r="L12" s="8">
        <f>VLOOKUP(A12,'[1]11_CRIMAC'!B:F,4,0)</f>
        <v>100</v>
      </c>
      <c r="M12" s="8">
        <f>VLOOKUP(A12,'[1]12_CEIR'!B:L,10,0)</f>
        <v>50</v>
      </c>
      <c r="N12" s="8">
        <f>VLOOKUP(A12,'[1]13_EPROSEC'!B:H,4,0)</f>
        <v>66.6666666666667</v>
      </c>
      <c r="O12" s="8">
        <f>VLOOKUP(A12,'[1]14_FIR_CS_COURT'!B:L,11,0)</f>
        <v>77.240249098656193</v>
      </c>
      <c r="P12" s="8">
        <f>VLOOKUP(A12,'[1]15_EOFFICE'!B:K,9,0)</f>
        <v>0</v>
      </c>
      <c r="Q12" s="8">
        <f>VLOOKUP(A12,'[1]16_APOLIS'!B:K,10,0)</f>
        <v>65</v>
      </c>
      <c r="R12" s="8">
        <f>VLOOKUP(A12,'[1]17_DRONE_FLYING'!B:J,9,0)</f>
        <v>51</v>
      </c>
      <c r="S12" s="8">
        <f>VLOOKUP(A12,'[1]18_112_TABS'!B:H,6,0)</f>
        <v>100</v>
      </c>
      <c r="T12" s="8">
        <f>VLOOKUP(A12,'[1]19_DIAL100_RES'!B:H,6,0)</f>
        <v>50</v>
      </c>
      <c r="U12" s="8">
        <f>VLOOKUP(A12,'[1]20_CCTV_360'!B:S,17,0)</f>
        <v>0</v>
      </c>
      <c r="V12" s="8">
        <f>VLOOKUP(A12,'[1]21_NEWS360AI'!B:D,2,0)</f>
        <v>0</v>
      </c>
      <c r="W12" s="8">
        <f>VLOOKUP(A12,'[1]22_eFSL'!B:F,4,0)</f>
        <v>100</v>
      </c>
      <c r="X12" s="8">
        <f>VLOOKUP(A12,'[1]23_UC3'!B:D,2,0)</f>
        <v>0</v>
      </c>
      <c r="Y12" s="8">
        <f>VLOOKUP(A12,'[1]23_UC4'!B:D,3,0)</f>
        <v>0</v>
      </c>
    </row>
    <row r="13" spans="1:25" s="9" customFormat="1" ht="26.1" customHeight="1">
      <c r="A13" s="7" t="s">
        <v>36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89.34</v>
      </c>
      <c r="G13" s="8">
        <f>VLOOKUP(A13,'[1]6_CCTNS_1_7'!B:P,13,0)</f>
        <v>50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86.440677966101703</v>
      </c>
      <c r="L13" s="8">
        <f>VLOOKUP(A13,'[1]11_CRIMAC'!B:F,4,0)</f>
        <v>100</v>
      </c>
      <c r="M13" s="8">
        <f>VLOOKUP(A13,'[1]12_CEIR'!B:L,10,0)</f>
        <v>50</v>
      </c>
      <c r="N13" s="8">
        <f>VLOOKUP(A13,'[1]13_EPROSEC'!B:H,4,0)</f>
        <v>100</v>
      </c>
      <c r="O13" s="8">
        <f>VLOOKUP(A13,'[1]14_FIR_CS_COURT'!B:L,11,0)</f>
        <v>81.982313927781902</v>
      </c>
      <c r="P13" s="8">
        <f>VLOOKUP(A13,'[1]15_EOFFICE'!B:K,9,0)</f>
        <v>0</v>
      </c>
      <c r="Q13" s="8">
        <f>VLOOKUP(A13,'[1]16_APOLIS'!B:K,10,0)</f>
        <v>62.5</v>
      </c>
      <c r="R13" s="8">
        <f>VLOOKUP(A13,'[1]17_DRONE_FLYING'!B:J,9,0)</f>
        <v>51</v>
      </c>
      <c r="S13" s="8">
        <f>VLOOKUP(A13,'[1]18_112_TABS'!B:H,6,0)</f>
        <v>33.3333333333333</v>
      </c>
      <c r="T13" s="8">
        <f>VLOOKUP(A13,'[1]19_DIAL100_RES'!B:H,6,0)</f>
        <v>48.072562358276599</v>
      </c>
      <c r="U13" s="8">
        <f>VLOOKUP(A13,'[1]20_CCTV_360'!B:S,17,0)</f>
        <v>0</v>
      </c>
      <c r="V13" s="8">
        <f>VLOOKUP(A13,'[1]21_NEWS360AI'!B:D,2,0)</f>
        <v>0</v>
      </c>
      <c r="W13" s="8">
        <f>VLOOKUP(A13,'[1]22_eFSL'!B:F,4,0)</f>
        <v>100</v>
      </c>
      <c r="X13" s="8">
        <f>VLOOKUP(A13,'[1]23_UC3'!B:D,2,0)</f>
        <v>0</v>
      </c>
      <c r="Y13" s="8">
        <f>VLOOKUP(A13,'[1]23_UC4'!B:D,3,0)</f>
        <v>0</v>
      </c>
    </row>
    <row r="14" spans="1:25" s="9" customFormat="1" ht="26.1" customHeight="1">
      <c r="A14" s="7" t="s">
        <v>37</v>
      </c>
      <c r="B14" s="8">
        <f>VLOOKUP(A14,'[1]1_MEDLEAPR_PME'!B:H,6,0)</f>
        <v>100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100</v>
      </c>
      <c r="G14" s="8">
        <f>VLOOKUP(A14,'[1]6_CCTNS_1_7'!B:P,13,0)</f>
        <v>100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73.245614035087698</v>
      </c>
      <c r="L14" s="8">
        <f>VLOOKUP(A14,'[1]11_CRIMAC'!B:F,4,0)</f>
        <v>100</v>
      </c>
      <c r="M14" s="8">
        <f>VLOOKUP(A14,'[1]12_CEIR'!B:L,10,0)</f>
        <v>50</v>
      </c>
      <c r="N14" s="8">
        <f>VLOOKUP(A14,'[1]13_EPROSEC'!B:H,4,0)</f>
        <v>100</v>
      </c>
      <c r="O14" s="8">
        <f>VLOOKUP(A14,'[1]14_FIR_CS_COURT'!B:L,11,0)</f>
        <v>77.634408602150501</v>
      </c>
      <c r="P14" s="8">
        <f>VLOOKUP(A14,'[1]15_EOFFICE'!B:K,9,0)</f>
        <v>0</v>
      </c>
      <c r="Q14" s="8">
        <f>VLOOKUP(A14,'[1]16_APOLIS'!B:K,10,0)</f>
        <v>65</v>
      </c>
      <c r="R14" s="8">
        <f>VLOOKUP(A14,'[1]17_DRONE_FLYING'!B:J,9,0)</f>
        <v>51</v>
      </c>
      <c r="S14" s="8">
        <f>VLOOKUP(A14,'[1]18_112_TABS'!B:H,6,0)</f>
        <v>50</v>
      </c>
      <c r="T14" s="8">
        <f>VLOOKUP(A14,'[1]19_DIAL100_RES'!B:H,6,0)</f>
        <v>14.965986394557801</v>
      </c>
      <c r="U14" s="8">
        <f>VLOOKUP(A14,'[1]20_CCTV_360'!B:S,17,0)</f>
        <v>7.1428571428571397</v>
      </c>
      <c r="V14" s="8">
        <f>VLOOKUP(A14,'[1]21_NEWS360AI'!B:D,2,0)</f>
        <v>0</v>
      </c>
      <c r="W14" s="8">
        <f>VLOOKUP(A14,'[1]22_eFSL'!B:F,4,0)</f>
        <v>100</v>
      </c>
      <c r="X14" s="8">
        <f>VLOOKUP(A14,'[1]23_UC3'!B:D,2,0)</f>
        <v>0</v>
      </c>
      <c r="Y14" s="8">
        <f>VLOOKUP(A14,'[1]23_UC4'!B:D,3,0)</f>
        <v>0</v>
      </c>
    </row>
    <row r="15" spans="1:25" s="9" customFormat="1" ht="26.1" customHeight="1">
      <c r="A15" s="7" t="s">
        <v>38</v>
      </c>
      <c r="B15" s="8" t="str">
        <f>VLOOKUP(A15,'[1]1_MEDLEAPR_PME'!B:H,6,0)</f>
        <v>100.00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99.15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62</v>
      </c>
      <c r="L15" s="8">
        <f>VLOOKUP(A15,'[1]11_CRIMAC'!B:F,4,0)</f>
        <v>100</v>
      </c>
      <c r="M15" s="8">
        <f>VLOOKUP(A15,'[1]12_CEIR'!B:L,10,0)</f>
        <v>50</v>
      </c>
      <c r="N15" s="8">
        <f>VLOOKUP(A15,'[1]13_EPROSEC'!B:H,4,0)</f>
        <v>25</v>
      </c>
      <c r="O15" s="8">
        <f>VLOOKUP(A15,'[1]14_FIR_CS_COURT'!B:L,11,0)</f>
        <v>68.542836868518506</v>
      </c>
      <c r="P15" s="8">
        <f>VLOOKUP(A15,'[1]15_EOFFICE'!B:K,9,0)</f>
        <v>0</v>
      </c>
      <c r="Q15" s="8">
        <f>VLOOKUP(A15,'[1]16_APOLIS'!B:K,10,0)</f>
        <v>60</v>
      </c>
      <c r="R15" s="8">
        <f>VLOOKUP(A15,'[1]17_DRONE_FLYING'!B:J,9,0)</f>
        <v>51</v>
      </c>
      <c r="S15" s="8">
        <f>VLOOKUP(A15,'[1]18_112_TABS'!B:H,6,0)</f>
        <v>100</v>
      </c>
      <c r="T15" s="8">
        <f>VLOOKUP(A15,'[1]19_DIAL100_RES'!B:H,6,0)</f>
        <v>74.149659863945601</v>
      </c>
      <c r="U15" s="8">
        <f>VLOOKUP(A15,'[1]20_CCTV_360'!B:S,17,0)</f>
        <v>7.1428571428571397</v>
      </c>
      <c r="V15" s="8">
        <f>VLOOKUP(A15,'[1]21_NEWS360AI'!B:D,2,0)</f>
        <v>0</v>
      </c>
      <c r="W15" s="8">
        <f>VLOOKUP(A15,'[1]22_eFSL'!B:F,4,0)</f>
        <v>100</v>
      </c>
      <c r="X15" s="8">
        <f>VLOOKUP(A15,'[1]23_UC3'!B:D,2,0)</f>
        <v>0</v>
      </c>
      <c r="Y15" s="8">
        <f>VLOOKUP(A15,'[1]23_UC4'!B:D,3,0)</f>
        <v>0</v>
      </c>
    </row>
    <row r="16" spans="1:25" s="9" customFormat="1" ht="26.1" customHeight="1">
      <c r="A16" s="7" t="s">
        <v>39</v>
      </c>
      <c r="B16" s="8" t="str">
        <f>VLOOKUP(A16,'[1]1_MEDLEAPR_PME'!B:H,6,0)</f>
        <v>100.00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93.02</v>
      </c>
      <c r="G16" s="8">
        <f>VLOOKUP(A16,'[1]6_CCTNS_1_7'!B:P,13,0)</f>
        <v>50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100</v>
      </c>
      <c r="L16" s="8">
        <f>VLOOKUP(A16,'[1]11_CRIMAC'!B:F,4,0)</f>
        <v>100</v>
      </c>
      <c r="M16" s="8">
        <f>VLOOKUP(A16,'[1]12_CEIR'!B:L,10,0)</f>
        <v>50</v>
      </c>
      <c r="N16" s="8">
        <f>VLOOKUP(A16,'[1]13_EPROSEC'!B:H,4,0)</f>
        <v>50</v>
      </c>
      <c r="O16" s="8">
        <f>VLOOKUP(A16,'[1]14_FIR_CS_COURT'!B:L,11,0)</f>
        <v>74.558080808080803</v>
      </c>
      <c r="P16" s="8">
        <f>VLOOKUP(A16,'[1]15_EOFFICE'!B:K,9,0)</f>
        <v>0</v>
      </c>
      <c r="Q16" s="8">
        <f>VLOOKUP(A16,'[1]16_APOLIS'!B:K,10,0)</f>
        <v>65</v>
      </c>
      <c r="R16" s="8">
        <f>VLOOKUP(A16,'[1]17_DRONE_FLYING'!B:J,9,0)</f>
        <v>54</v>
      </c>
      <c r="S16" s="8">
        <f>VLOOKUP(A16,'[1]18_112_TABS'!B:H,6,0)</f>
        <v>50</v>
      </c>
      <c r="T16" s="8">
        <f>VLOOKUP(A16,'[1]19_DIAL100_RES'!B:H,6,0)</f>
        <v>51.247165532879798</v>
      </c>
      <c r="U16" s="8">
        <f>VLOOKUP(A16,'[1]20_CCTV_360'!B:S,17,0)</f>
        <v>21.428571428571399</v>
      </c>
      <c r="V16" s="8">
        <f>VLOOKUP(A16,'[1]21_NEWS360AI'!B:D,2,0)</f>
        <v>0</v>
      </c>
      <c r="W16" s="8">
        <f>VLOOKUP(A16,'[1]22_eFSL'!B:F,4,0)</f>
        <v>100</v>
      </c>
      <c r="X16" s="8">
        <f>VLOOKUP(A16,'[1]23_UC3'!B:D,2,0)</f>
        <v>0</v>
      </c>
      <c r="Y16" s="8">
        <f>VLOOKUP(A16,'[1]23_UC4'!B:D,3,0)</f>
        <v>0</v>
      </c>
    </row>
    <row r="17" spans="1:25" s="9" customFormat="1" ht="26.1" customHeight="1">
      <c r="A17" s="7" t="s">
        <v>40</v>
      </c>
      <c r="B17" s="8" t="str">
        <f>VLOOKUP(A17,'[1]1_MEDLEAPR_PME'!B:H,6,0)</f>
        <v>100.00</v>
      </c>
      <c r="C17" s="8">
        <f>VLOOKUP(A17,'[1]2_MEDLEAPR_MLC'!B:I,6,0)</f>
        <v>100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97.46</v>
      </c>
      <c r="G17" s="8">
        <f>VLOOKUP(A17,'[1]6_CCTNS_1_7'!B:P,13,0)</f>
        <v>22.21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48.677248677248699</v>
      </c>
      <c r="L17" s="8">
        <f>VLOOKUP(A17,'[1]11_CRIMAC'!B:F,4,0)</f>
        <v>100</v>
      </c>
      <c r="M17" s="8">
        <f>VLOOKUP(A17,'[1]12_CEIR'!B:L,10,0)</f>
        <v>50</v>
      </c>
      <c r="N17" s="8">
        <f>VLOOKUP(A17,'[1]13_EPROSEC'!B:H,4,0)</f>
        <v>0</v>
      </c>
      <c r="O17" s="8">
        <f>VLOOKUP(A17,'[1]14_FIR_CS_COURT'!B:L,11,0)</f>
        <v>76.663428848955803</v>
      </c>
      <c r="P17" s="8">
        <f>VLOOKUP(A17,'[1]15_EOFFICE'!B:K,9,0)</f>
        <v>0</v>
      </c>
      <c r="Q17" s="8">
        <f>VLOOKUP(A17,'[1]16_APOLIS'!B:K,10,0)</f>
        <v>62.5</v>
      </c>
      <c r="R17" s="8">
        <f>VLOOKUP(A17,'[1]17_DRONE_FLYING'!B:J,9,0)</f>
        <v>51</v>
      </c>
      <c r="S17" s="8">
        <f>VLOOKUP(A17,'[1]18_112_TABS'!B:H,6,0)</f>
        <v>100</v>
      </c>
      <c r="T17" s="8">
        <f>VLOOKUP(A17,'[1]19_DIAL100_RES'!B:H,6,0)</f>
        <v>100</v>
      </c>
      <c r="U17" s="8">
        <f>VLOOKUP(A17,'[1]20_CCTV_360'!B:S,17,0)</f>
        <v>0</v>
      </c>
      <c r="V17" s="8">
        <f>VLOOKUP(A17,'[1]21_NEWS360AI'!B:D,2,0)</f>
        <v>0</v>
      </c>
      <c r="W17" s="8">
        <f>VLOOKUP(A17,'[1]22_eFSL'!B:F,4,0)</f>
        <v>100</v>
      </c>
      <c r="X17" s="8">
        <f>VLOOKUP(A17,'[1]23_UC3'!B:D,2,0)</f>
        <v>0</v>
      </c>
      <c r="Y17" s="8">
        <f>VLOOKUP(A17,'[1]23_UC4'!B:D,3,0)</f>
        <v>0</v>
      </c>
    </row>
    <row r="18" spans="1:25" s="9" customFormat="1" ht="26.1" customHeight="1">
      <c r="A18" s="7" t="s">
        <v>41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100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33.093525179856101</v>
      </c>
      <c r="L18" s="8">
        <f>VLOOKUP(A18,'[1]11_CRIMAC'!B:F,4,0)</f>
        <v>100</v>
      </c>
      <c r="M18" s="8">
        <f>VLOOKUP(A18,'[1]12_CEIR'!B:L,10,0)</f>
        <v>50</v>
      </c>
      <c r="N18" s="8">
        <f>VLOOKUP(A18,'[1]13_EPROSEC'!B:H,4,0)</f>
        <v>50</v>
      </c>
      <c r="O18" s="8">
        <f>VLOOKUP(A18,'[1]14_FIR_CS_COURT'!B:L,11,0)</f>
        <v>74.087591240875895</v>
      </c>
      <c r="P18" s="8">
        <f>VLOOKUP(A18,'[1]15_EOFFICE'!B:K,9,0)</f>
        <v>0</v>
      </c>
      <c r="Q18" s="8">
        <f>VLOOKUP(A18,'[1]16_APOLIS'!B:K,10,0)</f>
        <v>79.1666666666667</v>
      </c>
      <c r="R18" s="8">
        <f>VLOOKUP(A18,'[1]17_DRONE_FLYING'!B:J,9,0)</f>
        <v>51</v>
      </c>
      <c r="S18" s="8">
        <f>VLOOKUP(A18,'[1]18_112_TABS'!B:H,6,0)</f>
        <v>100</v>
      </c>
      <c r="T18" s="8">
        <f>VLOOKUP(A18,'[1]19_DIAL100_RES'!B:H,6,0)</f>
        <v>50</v>
      </c>
      <c r="U18" s="8">
        <f>VLOOKUP(A18,'[1]20_CCTV_360'!B:S,17,0)</f>
        <v>0</v>
      </c>
      <c r="V18" s="8">
        <f>VLOOKUP(A18,'[1]21_NEWS360AI'!B:D,2,0)</f>
        <v>0</v>
      </c>
      <c r="W18" s="8">
        <f>VLOOKUP(A18,'[1]22_eFSL'!B:F,4,0)</f>
        <v>100</v>
      </c>
      <c r="X18" s="8">
        <f>VLOOKUP(A18,'[1]23_UC3'!B:D,2,0)</f>
        <v>0</v>
      </c>
      <c r="Y18" s="8">
        <f>VLOOKUP(A18,'[1]23_UC4'!B:D,3,0)</f>
        <v>0</v>
      </c>
    </row>
    <row r="19" spans="1:25" s="9" customFormat="1" ht="26.1" customHeight="1">
      <c r="A19" s="7" t="s">
        <v>42</v>
      </c>
      <c r="B19" s="8">
        <f>VLOOKUP(A19,'[1]1_MEDLEAPR_PME'!B:H,6,0)</f>
        <v>100</v>
      </c>
      <c r="C19" s="8" t="str">
        <f>VLOOKUP(A19,'[1]2_MEDLEAPR_MLC'!B:I,6,0)</f>
        <v>100.00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100</v>
      </c>
      <c r="G19" s="8">
        <f>VLOOKUP(A19,'[1]6_CCTNS_1_7'!B:P,13,0)</f>
        <v>0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74.670184696569905</v>
      </c>
      <c r="L19" s="8">
        <f>VLOOKUP(A19,'[1]11_CRIMAC'!B:F,4,0)</f>
        <v>100</v>
      </c>
      <c r="M19" s="8">
        <f>VLOOKUP(A19,'[1]12_CEIR'!B:L,10,0)</f>
        <v>50</v>
      </c>
      <c r="N19" s="8">
        <f>VLOOKUP(A19,'[1]13_EPROSEC'!B:H,4,0)</f>
        <v>50</v>
      </c>
      <c r="O19" s="8">
        <f>VLOOKUP(A19,'[1]14_FIR_CS_COURT'!B:L,11,0)</f>
        <v>85.063480209111304</v>
      </c>
      <c r="P19" s="8">
        <f>VLOOKUP(A19,'[1]15_EOFFICE'!B:K,9,0)</f>
        <v>0</v>
      </c>
      <c r="Q19" s="8">
        <f>VLOOKUP(A19,'[1]16_APOLIS'!B:K,10,0)</f>
        <v>62.5</v>
      </c>
      <c r="R19" s="8">
        <f>VLOOKUP(A19,'[1]17_DRONE_FLYING'!B:J,9,0)</f>
        <v>51</v>
      </c>
      <c r="S19" s="8">
        <f>VLOOKUP(A19,'[1]18_112_TABS'!B:H,6,0)</f>
        <v>100</v>
      </c>
      <c r="T19" s="8">
        <f>VLOOKUP(A19,'[1]19_DIAL100_RES'!B:H,6,0)</f>
        <v>68.934240362811806</v>
      </c>
      <c r="U19" s="8">
        <f>VLOOKUP(A19,'[1]20_CCTV_360'!B:S,17,0)</f>
        <v>0</v>
      </c>
      <c r="V19" s="8">
        <f>VLOOKUP(A19,'[1]21_NEWS360AI'!B:D,2,0)</f>
        <v>0</v>
      </c>
      <c r="W19" s="8">
        <f>VLOOKUP(A19,'[1]22_eFSL'!B:F,4,0)</f>
        <v>100</v>
      </c>
      <c r="X19" s="8">
        <f>VLOOKUP(A19,'[1]23_UC3'!B:D,2,0)</f>
        <v>0</v>
      </c>
      <c r="Y19" s="8">
        <f>VLOOKUP(A19,'[1]23_UC4'!B:D,3,0)</f>
        <v>0</v>
      </c>
    </row>
    <row r="20" spans="1:25" s="9" customFormat="1" ht="26.1" customHeight="1">
      <c r="A20" s="7" t="s">
        <v>43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98.3</v>
      </c>
      <c r="G20" s="8">
        <f>VLOOKUP(A20,'[1]6_CCTNS_1_7'!B:P,13,0)</f>
        <v>9.8699999999999992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52.705882352941202</v>
      </c>
      <c r="L20" s="8">
        <f>VLOOKUP(A20,'[1]11_CRIMAC'!B:F,4,0)</f>
        <v>100</v>
      </c>
      <c r="M20" s="8">
        <f>VLOOKUP(A20,'[1]12_CEIR'!B:L,10,0)</f>
        <v>50</v>
      </c>
      <c r="N20" s="8">
        <f>VLOOKUP(A20,'[1]13_EPROSEC'!B:H,4,0)</f>
        <v>100</v>
      </c>
      <c r="O20" s="8">
        <f>VLOOKUP(A20,'[1]14_FIR_CS_COURT'!B:L,11,0)</f>
        <v>68.399295201951702</v>
      </c>
      <c r="P20" s="8">
        <f>VLOOKUP(A20,'[1]15_EOFFICE'!B:K,9,0)</f>
        <v>0</v>
      </c>
      <c r="Q20" s="8">
        <f>VLOOKUP(A20,'[1]16_APOLIS'!B:K,10,0)</f>
        <v>66.6666666666667</v>
      </c>
      <c r="R20" s="8">
        <f>VLOOKUP(A20,'[1]17_DRONE_FLYING'!B:J,9,0)</f>
        <v>51</v>
      </c>
      <c r="S20" s="8">
        <f>VLOOKUP(A20,'[1]18_112_TABS'!B:H,6,0)</f>
        <v>75</v>
      </c>
      <c r="T20" s="8">
        <f>VLOOKUP(A20,'[1]19_DIAL100_RES'!B:H,6,0)</f>
        <v>77.324263038548807</v>
      </c>
      <c r="U20" s="8">
        <f>VLOOKUP(A20,'[1]20_CCTV_360'!B:S,17,0)</f>
        <v>28.571428571428601</v>
      </c>
      <c r="V20" s="8">
        <f>VLOOKUP(A20,'[1]21_NEWS360AI'!B:D,2,0)</f>
        <v>0</v>
      </c>
      <c r="W20" s="8">
        <f>VLOOKUP(A20,'[1]22_eFSL'!B:F,4,0)</f>
        <v>100</v>
      </c>
      <c r="X20" s="8">
        <f>VLOOKUP(A20,'[1]23_UC3'!B:D,2,0)</f>
        <v>0</v>
      </c>
      <c r="Y20" s="8">
        <f>VLOOKUP(A20,'[1]23_UC4'!B:D,3,0)</f>
        <v>0</v>
      </c>
    </row>
    <row r="21" spans="1:25" s="9" customFormat="1" ht="26.1" customHeight="1">
      <c r="A21" s="7" t="s">
        <v>44</v>
      </c>
      <c r="B21" s="8">
        <f>VLOOKUP(A21,'[1]1_MEDLEAPR_PME'!B:H,6,0)</f>
        <v>100</v>
      </c>
      <c r="C21" s="8">
        <f>VLOOKUP(A21,'[1]2_MEDLEAPR_MLC'!B:I,6,0)</f>
        <v>100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88.84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88.950276243093896</v>
      </c>
      <c r="L21" s="8">
        <f>VLOOKUP(A21,'[1]11_CRIMAC'!B:F,4,0)</f>
        <v>100</v>
      </c>
      <c r="M21" s="8">
        <f>VLOOKUP(A21,'[1]12_CEIR'!B:L,10,0)</f>
        <v>50</v>
      </c>
      <c r="N21" s="8">
        <f>VLOOKUP(A21,'[1]13_EPROSEC'!B:H,4,0)</f>
        <v>100</v>
      </c>
      <c r="O21" s="8">
        <f>VLOOKUP(A21,'[1]14_FIR_CS_COURT'!B:L,11,0)</f>
        <v>83.7583690664259</v>
      </c>
      <c r="P21" s="8">
        <f>VLOOKUP(A21,'[1]15_EOFFICE'!B:K,9,0)</f>
        <v>0</v>
      </c>
      <c r="Q21" s="8">
        <f>VLOOKUP(A21,'[1]16_APOLIS'!B:K,10,0)</f>
        <v>62.5</v>
      </c>
      <c r="R21" s="8">
        <f>VLOOKUP(A21,'[1]17_DRONE_FLYING'!B:J,9,0)</f>
        <v>51</v>
      </c>
      <c r="S21" s="8">
        <f>VLOOKUP(A21,'[1]18_112_TABS'!B:H,6,0)</f>
        <v>100</v>
      </c>
      <c r="T21" s="8">
        <f>VLOOKUP(A21,'[1]19_DIAL100_RES'!B:H,6,0)</f>
        <v>91.383219954648496</v>
      </c>
      <c r="U21" s="8">
        <f>VLOOKUP(A21,'[1]20_CCTV_360'!B:S,17,0)</f>
        <v>14.285714285714301</v>
      </c>
      <c r="V21" s="8">
        <f>VLOOKUP(A21,'[1]21_NEWS360AI'!B:D,2,0)</f>
        <v>0</v>
      </c>
      <c r="W21" s="8">
        <f>VLOOKUP(A21,'[1]22_eFSL'!B:F,4,0)</f>
        <v>100</v>
      </c>
      <c r="X21" s="8">
        <f>VLOOKUP(A21,'[1]23_UC3'!B:D,2,0)</f>
        <v>0</v>
      </c>
      <c r="Y21" s="8">
        <f>VLOOKUP(A21,'[1]23_UC4'!B:D,3,0)</f>
        <v>0</v>
      </c>
    </row>
    <row r="22" spans="1:25" s="9" customFormat="1" ht="26.1" customHeight="1">
      <c r="A22" s="7" t="s">
        <v>45</v>
      </c>
      <c r="B22" s="8" t="str">
        <f>VLOOKUP(A22,'[1]1_MEDLEAPR_PME'!B:H,6,0)</f>
        <v>100.00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100</v>
      </c>
      <c r="G22" s="8">
        <f>VLOOKUP(A22,'[1]6_CCTNS_1_7'!B:P,13,0)</f>
        <v>74.040000000000006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68.325791855203605</v>
      </c>
      <c r="L22" s="8">
        <f>VLOOKUP(A22,'[1]11_CRIMAC'!B:F,4,0)</f>
        <v>100</v>
      </c>
      <c r="M22" s="8">
        <f>VLOOKUP(A22,'[1]12_CEIR'!B:L,10,0)</f>
        <v>50</v>
      </c>
      <c r="N22" s="8">
        <f>VLOOKUP(A22,'[1]13_EPROSEC'!B:H,4,0)</f>
        <v>0</v>
      </c>
      <c r="O22" s="8">
        <f>VLOOKUP(A22,'[1]14_FIR_CS_COURT'!B:L,11,0)</f>
        <v>75.526881720430097</v>
      </c>
      <c r="P22" s="8">
        <f>VLOOKUP(A22,'[1]15_EOFFICE'!B:K,9,0)</f>
        <v>0</v>
      </c>
      <c r="Q22" s="8">
        <f>VLOOKUP(A22,'[1]16_APOLIS'!B:K,10,0)</f>
        <v>62.5</v>
      </c>
      <c r="R22" s="8">
        <f>VLOOKUP(A22,'[1]17_DRONE_FLYING'!B:J,9,0)</f>
        <v>54</v>
      </c>
      <c r="S22" s="8">
        <f>VLOOKUP(A22,'[1]18_112_TABS'!B:H,6,0)</f>
        <v>100</v>
      </c>
      <c r="T22" s="8">
        <f>VLOOKUP(A22,'[1]19_DIAL100_RES'!B:H,6,0)</f>
        <v>92.063492063492106</v>
      </c>
      <c r="U22" s="8">
        <f>VLOOKUP(A22,'[1]20_CCTV_360'!B:S,17,0)</f>
        <v>7.1428571428571397</v>
      </c>
      <c r="V22" s="8">
        <f>VLOOKUP(A22,'[1]21_NEWS360AI'!B:D,2,0)</f>
        <v>0</v>
      </c>
      <c r="W22" s="8">
        <f>VLOOKUP(A22,'[1]22_eFSL'!B:F,4,0)</f>
        <v>100</v>
      </c>
      <c r="X22" s="8">
        <f>VLOOKUP(A22,'[1]23_UC3'!B:D,2,0)</f>
        <v>0</v>
      </c>
      <c r="Y22" s="8">
        <f>VLOOKUP(A22,'[1]23_UC4'!B:D,3,0)</f>
        <v>0</v>
      </c>
    </row>
    <row r="23" spans="1:25" s="9" customFormat="1" ht="26.1" customHeight="1">
      <c r="A23" s="7" t="s">
        <v>46</v>
      </c>
      <c r="B23" s="8" t="str">
        <f>VLOOKUP(A23,'[1]1_MEDLEAPR_PME'!B:H,6,0)</f>
        <v>100.00</v>
      </c>
      <c r="C23" s="8" t="str">
        <f>VLOOKUP(A23,'[1]2_MEDLEAPR_MLC'!B:I,6,0)</f>
        <v>100.00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84.69</v>
      </c>
      <c r="G23" s="8">
        <f>VLOOKUP(A23,'[1]6_CCTNS_1_7'!B:P,13,0)</f>
        <v>50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37.951807228915698</v>
      </c>
      <c r="L23" s="8">
        <f>VLOOKUP(A23,'[1]11_CRIMAC'!B:F,4,0)</f>
        <v>100</v>
      </c>
      <c r="M23" s="8">
        <f>VLOOKUP(A23,'[1]12_CEIR'!B:L,10,0)</f>
        <v>50</v>
      </c>
      <c r="N23" s="8">
        <f>VLOOKUP(A23,'[1]13_EPROSEC'!B:H,4,0)</f>
        <v>100</v>
      </c>
      <c r="O23" s="8">
        <f>VLOOKUP(A23,'[1]14_FIR_CS_COURT'!B:L,11,0)</f>
        <v>82.303113553113505</v>
      </c>
      <c r="P23" s="8">
        <f>VLOOKUP(A23,'[1]15_EOFFICE'!B:K,9,0)</f>
        <v>0</v>
      </c>
      <c r="Q23" s="8">
        <f>VLOOKUP(A23,'[1]16_APOLIS'!B:K,10,0)</f>
        <v>62.962962962962997</v>
      </c>
      <c r="R23" s="8">
        <f>VLOOKUP(A23,'[1]17_DRONE_FLYING'!B:J,9,0)</f>
        <v>58</v>
      </c>
      <c r="S23" s="8">
        <f>VLOOKUP(A23,'[1]18_112_TABS'!B:H,6,0)</f>
        <v>100</v>
      </c>
      <c r="T23" s="8">
        <f>VLOOKUP(A23,'[1]19_DIAL100_RES'!B:H,6,0)</f>
        <v>69.841269841269806</v>
      </c>
      <c r="U23" s="8">
        <f>VLOOKUP(A23,'[1]20_CCTV_360'!B:S,17,0)</f>
        <v>21.428571428571399</v>
      </c>
      <c r="V23" s="8">
        <f>VLOOKUP(A23,'[1]21_NEWS360AI'!B:D,2,0)</f>
        <v>0</v>
      </c>
      <c r="W23" s="8">
        <f>VLOOKUP(A23,'[1]22_eFSL'!B:F,4,0)</f>
        <v>100</v>
      </c>
      <c r="X23" s="8">
        <f>VLOOKUP(A23,'[1]23_UC3'!B:D,2,0)</f>
        <v>0</v>
      </c>
      <c r="Y23" s="8">
        <f>VLOOKUP(A23,'[1]23_UC4'!B:D,3,0)</f>
        <v>0</v>
      </c>
    </row>
    <row r="24" spans="1:25" s="9" customFormat="1" ht="26.1" customHeight="1">
      <c r="A24" s="7" t="s">
        <v>47</v>
      </c>
      <c r="B24" s="8" t="str">
        <f>VLOOKUP(A24,'[1]1_MEDLEAPR_PME'!B:H,6,0)</f>
        <v>100.00</v>
      </c>
      <c r="C24" s="8">
        <f>VLOOKUP(A24,'[1]2_MEDLEAPR_MLC'!B:I,6,0)</f>
        <v>100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84.07</v>
      </c>
      <c r="G24" s="8">
        <f>VLOOKUP(A24,'[1]6_CCTNS_1_7'!B:P,13,0)</f>
        <v>74.040000000000006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34.426229508196698</v>
      </c>
      <c r="L24" s="8">
        <f>VLOOKUP(A24,'[1]11_CRIMAC'!B:F,4,0)</f>
        <v>100</v>
      </c>
      <c r="M24" s="8">
        <f>VLOOKUP(A24,'[1]12_CEIR'!B:L,10,0)</f>
        <v>50</v>
      </c>
      <c r="N24" s="8">
        <f>VLOOKUP(A24,'[1]13_EPROSEC'!B:H,4,0)</f>
        <v>20</v>
      </c>
      <c r="O24" s="8">
        <f>VLOOKUP(A24,'[1]14_FIR_CS_COURT'!B:L,11,0)</f>
        <v>76.9149436090226</v>
      </c>
      <c r="P24" s="8">
        <f>VLOOKUP(A24,'[1]15_EOFFICE'!B:K,9,0)</f>
        <v>0</v>
      </c>
      <c r="Q24" s="8">
        <f>VLOOKUP(A24,'[1]16_APOLIS'!B:K,10,0)</f>
        <v>62.5</v>
      </c>
      <c r="R24" s="8">
        <f>VLOOKUP(A24,'[1]17_DRONE_FLYING'!B:J,9,0)</f>
        <v>51</v>
      </c>
      <c r="S24" s="8">
        <f>VLOOKUP(A24,'[1]18_112_TABS'!B:H,6,0)</f>
        <v>100</v>
      </c>
      <c r="T24" s="8">
        <f>VLOOKUP(A24,'[1]19_DIAL100_RES'!B:H,6,0)</f>
        <v>55.5555555555556</v>
      </c>
      <c r="U24" s="8">
        <f>VLOOKUP(A24,'[1]20_CCTV_360'!B:S,17,0)</f>
        <v>21.428571428571399</v>
      </c>
      <c r="V24" s="8">
        <f>VLOOKUP(A24,'[1]21_NEWS360AI'!B:D,2,0)</f>
        <v>0</v>
      </c>
      <c r="W24" s="8">
        <f>VLOOKUP(A24,'[1]22_eFSL'!B:F,4,0)</f>
        <v>100</v>
      </c>
      <c r="X24" s="8">
        <f>VLOOKUP(A24,'[1]23_UC3'!B:D,2,0)</f>
        <v>0</v>
      </c>
      <c r="Y24" s="8">
        <f>VLOOKUP(A24,'[1]23_UC4'!B:D,3,0)</f>
        <v>0</v>
      </c>
    </row>
    <row r="25" spans="1:25" s="9" customFormat="1" ht="26.1" customHeight="1">
      <c r="A25" s="7" t="s">
        <v>48</v>
      </c>
      <c r="B25" s="8">
        <f>VLOOKUP(A25,'[1]1_MEDLEAPR_PME'!B:H,6,0)</f>
        <v>100</v>
      </c>
      <c r="C25" s="8" t="str">
        <f>VLOOKUP(A25,'[1]2_MEDLEAPR_MLC'!B:I,6,0)</f>
        <v>100.00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100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38.383838383838402</v>
      </c>
      <c r="L25" s="8">
        <f>VLOOKUP(A25,'[1]11_CRIMAC'!B:F,4,0)</f>
        <v>100</v>
      </c>
      <c r="M25" s="8">
        <f>VLOOKUP(A25,'[1]12_CEIR'!B:L,10,0)</f>
        <v>50</v>
      </c>
      <c r="N25" s="8">
        <f>VLOOKUP(A25,'[1]13_EPROSEC'!B:H,4,0)</f>
        <v>20</v>
      </c>
      <c r="O25" s="8">
        <f>VLOOKUP(A25,'[1]14_FIR_CS_COURT'!B:L,11,0)</f>
        <v>67.800190718815003</v>
      </c>
      <c r="P25" s="8">
        <f>VLOOKUP(A25,'[1]15_EOFFICE'!B:K,9,0)</f>
        <v>0</v>
      </c>
      <c r="Q25" s="8">
        <f>VLOOKUP(A25,'[1]16_APOLIS'!B:K,10,0)</f>
        <v>60.8108108108108</v>
      </c>
      <c r="R25" s="8">
        <f>VLOOKUP(A25,'[1]17_DRONE_FLYING'!B:J,9,0)</f>
        <v>61</v>
      </c>
      <c r="S25" s="8">
        <f>VLOOKUP(A25,'[1]18_112_TABS'!B:H,6,0)</f>
        <v>100</v>
      </c>
      <c r="T25" s="8">
        <f>VLOOKUP(A25,'[1]19_DIAL100_RES'!B:H,6,0)</f>
        <v>34.467120181405903</v>
      </c>
      <c r="U25" s="8">
        <f>VLOOKUP(A25,'[1]20_CCTV_360'!B:S,17,0)</f>
        <v>28.571428571428601</v>
      </c>
      <c r="V25" s="8">
        <f>VLOOKUP(A25,'[1]21_NEWS360AI'!B:D,2,0)</f>
        <v>0</v>
      </c>
      <c r="W25" s="8">
        <f>VLOOKUP(A25,'[1]22_eFSL'!B:F,4,0)</f>
        <v>100</v>
      </c>
      <c r="X25" s="8">
        <f>VLOOKUP(A25,'[1]23_UC3'!B:D,2,0)</f>
        <v>0</v>
      </c>
      <c r="Y25" s="8">
        <f>VLOOKUP(A25,'[1]23_UC4'!B:D,3,0)</f>
        <v>0</v>
      </c>
    </row>
    <row r="26" spans="1:25" s="9" customFormat="1" ht="26.1" customHeight="1">
      <c r="A26" s="7" t="s">
        <v>49</v>
      </c>
      <c r="B26" s="8">
        <f>VLOOKUP(A26,'[1]1_MEDLEAPR_PME'!B:H,6,0)</f>
        <v>100</v>
      </c>
      <c r="C26" s="8" t="str">
        <f>VLOOKUP(A26,'[1]2_MEDLEAPR_MLC'!B:I,6,0)</f>
        <v>100.00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100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61.772486772486801</v>
      </c>
      <c r="L26" s="8">
        <f>VLOOKUP(A26,'[1]11_CRIMAC'!B:F,4,0)</f>
        <v>100</v>
      </c>
      <c r="M26" s="8">
        <f>VLOOKUP(A26,'[1]12_CEIR'!B:L,10,0)</f>
        <v>50</v>
      </c>
      <c r="N26" s="8">
        <f>VLOOKUP(A26,'[1]13_EPROSEC'!B:H,4,0)</f>
        <v>25</v>
      </c>
      <c r="O26" s="8">
        <f>VLOOKUP(A26,'[1]14_FIR_CS_COURT'!B:L,11,0)</f>
        <v>73.034966809014406</v>
      </c>
      <c r="P26" s="8">
        <f>VLOOKUP(A26,'[1]15_EOFFICE'!B:K,9,0)</f>
        <v>0</v>
      </c>
      <c r="Q26" s="8">
        <f>VLOOKUP(A26,'[1]16_APOLIS'!B:K,10,0)</f>
        <v>67.647058823529406</v>
      </c>
      <c r="R26" s="8">
        <f>VLOOKUP(A26,'[1]17_DRONE_FLYING'!B:J,9,0)</f>
        <v>58</v>
      </c>
      <c r="S26" s="8">
        <f>VLOOKUP(A26,'[1]18_112_TABS'!B:H,6,0)</f>
        <v>100</v>
      </c>
      <c r="T26" s="8">
        <f>VLOOKUP(A26,'[1]19_DIAL100_RES'!B:H,6,0)</f>
        <v>78.458049886621296</v>
      </c>
      <c r="U26" s="8">
        <f>VLOOKUP(A26,'[1]20_CCTV_360'!B:S,17,0)</f>
        <v>50</v>
      </c>
      <c r="V26" s="8">
        <f>VLOOKUP(A26,'[1]21_NEWS360AI'!B:D,2,0)</f>
        <v>0</v>
      </c>
      <c r="W26" s="8">
        <f>VLOOKUP(A26,'[1]22_eFSL'!B:F,4,0)</f>
        <v>100</v>
      </c>
      <c r="X26" s="8">
        <f>VLOOKUP(A26,'[1]23_UC3'!B:D,2,0)</f>
        <v>0</v>
      </c>
      <c r="Y26" s="8">
        <f>VLOOKUP(A26,'[1]23_UC4'!B:D,3,0)</f>
        <v>0</v>
      </c>
    </row>
    <row r="27" spans="1:25" s="9" customFormat="1" ht="26.1" customHeight="1">
      <c r="A27" s="7" t="s">
        <v>50</v>
      </c>
      <c r="B27" s="8" t="str">
        <f>VLOOKUP(A27,'[1]1_MEDLEAPR_PME'!B:H,6,0)</f>
        <v>100.00</v>
      </c>
      <c r="C27" s="8" t="str">
        <f>VLOOKUP(A27,'[1]2_MEDLEAPR_MLC'!B:I,6,0)</f>
        <v>100.00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64.16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56.281407035175903</v>
      </c>
      <c r="L27" s="8">
        <f>VLOOKUP(A27,'[1]11_CRIMAC'!B:F,4,0)</f>
        <v>100</v>
      </c>
      <c r="M27" s="8">
        <f>VLOOKUP(A27,'[1]12_CEIR'!B:L,10,0)</f>
        <v>50</v>
      </c>
      <c r="N27" s="8">
        <f>VLOOKUP(A27,'[1]13_EPROSEC'!B:H,4,0)</f>
        <v>50</v>
      </c>
      <c r="O27" s="8">
        <f>VLOOKUP(A27,'[1]14_FIR_CS_COURT'!B:L,11,0)</f>
        <v>85.774513803889604</v>
      </c>
      <c r="P27" s="8">
        <f>VLOOKUP(A27,'[1]15_EOFFICE'!B:K,9,0)</f>
        <v>0</v>
      </c>
      <c r="Q27" s="8">
        <f>VLOOKUP(A27,'[1]16_APOLIS'!B:K,10,0)</f>
        <v>67.857142857142904</v>
      </c>
      <c r="R27" s="8">
        <f>VLOOKUP(A27,'[1]17_DRONE_FLYING'!B:J,9,0)</f>
        <v>51</v>
      </c>
      <c r="S27" s="8">
        <f>VLOOKUP(A27,'[1]18_112_TABS'!B:H,6,0)</f>
        <v>100</v>
      </c>
      <c r="T27" s="8">
        <f>VLOOKUP(A27,'[1]19_DIAL100_RES'!B:H,6,0)</f>
        <v>54.6485260770975</v>
      </c>
      <c r="U27" s="8">
        <f>VLOOKUP(A27,'[1]20_CCTV_360'!B:S,17,0)</f>
        <v>14.285714285714301</v>
      </c>
      <c r="V27" s="8">
        <f>VLOOKUP(A27,'[1]21_NEWS360AI'!B:D,2,0)</f>
        <v>0</v>
      </c>
      <c r="W27" s="8">
        <f>VLOOKUP(A27,'[1]22_eFSL'!B:F,4,0)</f>
        <v>100</v>
      </c>
      <c r="X27" s="8">
        <f>VLOOKUP(A27,'[1]23_UC3'!B:D,2,0)</f>
        <v>0</v>
      </c>
      <c r="Y27" s="8">
        <f>VLOOKUP(A27,'[1]23_UC4'!B:D,3,0)</f>
        <v>0</v>
      </c>
    </row>
    <row r="28" spans="1:25" s="9" customFormat="1" ht="26.1" customHeight="1">
      <c r="A28" s="7" t="s">
        <v>51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98.97</v>
      </c>
      <c r="G28" s="8">
        <f>VLOOKUP(A28,'[1]6_CCTNS_1_7'!B:P,13,0)</f>
        <v>74.040000000000006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92.626728110599103</v>
      </c>
      <c r="L28" s="8">
        <f>VLOOKUP(A28,'[1]11_CRIMAC'!B:F,4,0)</f>
        <v>100</v>
      </c>
      <c r="M28" s="8">
        <f>VLOOKUP(A28,'[1]12_CEIR'!B:L,10,0)</f>
        <v>50</v>
      </c>
      <c r="N28" s="8">
        <f>VLOOKUP(A28,'[1]13_EPROSEC'!B:H,4,0)</f>
        <v>100</v>
      </c>
      <c r="O28" s="8">
        <f>VLOOKUP(A28,'[1]14_FIR_CS_COURT'!B:L,11,0)</f>
        <v>82.481481481481495</v>
      </c>
      <c r="P28" s="8">
        <f>VLOOKUP(A28,'[1]15_EOFFICE'!B:K,9,0)</f>
        <v>0</v>
      </c>
      <c r="Q28" s="8">
        <f>VLOOKUP(A28,'[1]16_APOLIS'!B:K,10,0)</f>
        <v>62.5</v>
      </c>
      <c r="R28" s="8">
        <f>VLOOKUP(A28,'[1]17_DRONE_FLYING'!B:J,9,0)</f>
        <v>51</v>
      </c>
      <c r="S28" s="8">
        <f>VLOOKUP(A28,'[1]18_112_TABS'!B:H,6,0)</f>
        <v>100</v>
      </c>
      <c r="T28" s="8">
        <f>VLOOKUP(A28,'[1]19_DIAL100_RES'!B:H,6,0)</f>
        <v>63.945578231292501</v>
      </c>
      <c r="U28" s="8">
        <f>VLOOKUP(A28,'[1]20_CCTV_360'!B:S,17,0)</f>
        <v>0</v>
      </c>
      <c r="V28" s="8">
        <f>VLOOKUP(A28,'[1]21_NEWS360AI'!B:D,2,0)</f>
        <v>0</v>
      </c>
      <c r="W28" s="8">
        <f>VLOOKUP(A28,'[1]22_eFSL'!B:F,4,0)</f>
        <v>100</v>
      </c>
      <c r="X28" s="8">
        <f>VLOOKUP(A28,'[1]23_UC3'!B:D,2,0)</f>
        <v>0</v>
      </c>
      <c r="Y28" s="8">
        <f>VLOOKUP(A28,'[1]23_UC4'!B:D,3,0)</f>
        <v>0</v>
      </c>
    </row>
    <row r="29" spans="1:25" s="9" customFormat="1" ht="26.1" customHeight="1">
      <c r="A29" s="7" t="s">
        <v>52</v>
      </c>
      <c r="B29" s="8" t="str">
        <f>VLOOKUP(A29,'[1]1_MEDLEAPR_PME'!B:H,6,0)</f>
        <v>100.00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91.6</v>
      </c>
      <c r="G29" s="8">
        <f>VLOOKUP(A29,'[1]6_CCTNS_1_7'!B:P,13,0)</f>
        <v>100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44.104803493449801</v>
      </c>
      <c r="L29" s="8">
        <f>VLOOKUP(A29,'[1]11_CRIMAC'!B:F,4,0)</f>
        <v>100</v>
      </c>
      <c r="M29" s="8">
        <f>VLOOKUP(A29,'[1]12_CEIR'!B:L,10,0)</f>
        <v>50</v>
      </c>
      <c r="N29" s="8">
        <f>VLOOKUP(A29,'[1]13_EPROSEC'!B:H,4,0)</f>
        <v>33.3333333333333</v>
      </c>
      <c r="O29" s="8">
        <f>VLOOKUP(A29,'[1]14_FIR_CS_COURT'!B:L,11,0)</f>
        <v>83.024691358024697</v>
      </c>
      <c r="P29" s="8">
        <f>VLOOKUP(A29,'[1]15_EOFFICE'!B:K,9,0)</f>
        <v>0</v>
      </c>
      <c r="Q29" s="8">
        <f>VLOOKUP(A29,'[1]16_APOLIS'!B:K,10,0)</f>
        <v>62.5</v>
      </c>
      <c r="R29" s="8">
        <f>VLOOKUP(A29,'[1]17_DRONE_FLYING'!B:J,9,0)</f>
        <v>51</v>
      </c>
      <c r="S29" s="8">
        <f>VLOOKUP(A29,'[1]18_112_TABS'!B:H,6,0)</f>
        <v>100</v>
      </c>
      <c r="T29" s="8">
        <f>VLOOKUP(A29,'[1]19_DIAL100_RES'!B:H,6,0)</f>
        <v>61.904761904761898</v>
      </c>
      <c r="U29" s="8">
        <f>VLOOKUP(A29,'[1]20_CCTV_360'!B:S,17,0)</f>
        <v>7.1428571428571397</v>
      </c>
      <c r="V29" s="8">
        <f>VLOOKUP(A29,'[1]21_NEWS360AI'!B:D,2,0)</f>
        <v>0</v>
      </c>
      <c r="W29" s="8">
        <f>VLOOKUP(A29,'[1]22_eFSL'!B:F,4,0)</f>
        <v>100</v>
      </c>
      <c r="X29" s="8">
        <f>VLOOKUP(A29,'[1]23_UC3'!B:D,2,0)</f>
        <v>0</v>
      </c>
      <c r="Y29" s="8">
        <f>VLOOKUP(A29,'[1]23_UC4'!B:D,3,0)</f>
        <v>0</v>
      </c>
    </row>
    <row r="30" spans="1:25" s="9" customFormat="1" ht="26.1" customHeight="1">
      <c r="A30" s="7" t="s">
        <v>53</v>
      </c>
      <c r="B30" s="8" t="str">
        <f>VLOOKUP(A30,'[1]1_MEDLEAPR_PME'!B:H,6,0)</f>
        <v>100.00</v>
      </c>
      <c r="C30" s="8" t="str">
        <f>VLOOKUP(A30,'[1]2_MEDLEAPR_MLC'!B:I,6,0)</f>
        <v>100.00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75.8</v>
      </c>
      <c r="G30" s="8">
        <f>VLOOKUP(A30,'[1]6_CCTNS_1_7'!B:P,13,0)</f>
        <v>78.97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65.301724137931004</v>
      </c>
      <c r="L30" s="8">
        <f>VLOOKUP(A30,'[1]11_CRIMAC'!B:F,4,0)</f>
        <v>100</v>
      </c>
      <c r="M30" s="8">
        <f>VLOOKUP(A30,'[1]12_CEIR'!B:L,10,0)</f>
        <v>50</v>
      </c>
      <c r="N30" s="8">
        <f>VLOOKUP(A30,'[1]13_EPROSEC'!B:H,4,0)</f>
        <v>25</v>
      </c>
      <c r="O30" s="8">
        <f>VLOOKUP(A30,'[1]14_FIR_CS_COURT'!B:L,11,0)</f>
        <v>82.536259786933599</v>
      </c>
      <c r="P30" s="8">
        <f>VLOOKUP(A30,'[1]15_EOFFICE'!B:K,9,0)</f>
        <v>0</v>
      </c>
      <c r="Q30" s="8">
        <f>VLOOKUP(A30,'[1]16_APOLIS'!B:K,10,0)</f>
        <v>62.5</v>
      </c>
      <c r="R30" s="8">
        <f>VLOOKUP(A30,'[1]17_DRONE_FLYING'!B:J,9,0)</f>
        <v>54</v>
      </c>
      <c r="S30" s="8">
        <f>VLOOKUP(A30,'[1]18_112_TABS'!B:H,6,0)</f>
        <v>100</v>
      </c>
      <c r="T30" s="8">
        <f>VLOOKUP(A30,'[1]19_DIAL100_RES'!B:H,6,0)</f>
        <v>64.399092970521494</v>
      </c>
      <c r="U30" s="8">
        <f>VLOOKUP(A30,'[1]20_CCTV_360'!B:S,17,0)</f>
        <v>7.1428571428571397</v>
      </c>
      <c r="V30" s="8">
        <f>VLOOKUP(A30,'[1]21_NEWS360AI'!B:D,2,0)</f>
        <v>0</v>
      </c>
      <c r="W30" s="8">
        <f>VLOOKUP(A30,'[1]22_eFSL'!B:F,4,0)</f>
        <v>100</v>
      </c>
      <c r="X30" s="8">
        <f>VLOOKUP(A30,'[1]23_UC3'!B:D,2,0)</f>
        <v>0</v>
      </c>
      <c r="Y30" s="8">
        <f>VLOOKUP(A30,'[1]23_UC4'!B:D,3,0)</f>
        <v>0</v>
      </c>
    </row>
    <row r="31" spans="1:25" s="9" customFormat="1" ht="26.1" customHeight="1">
      <c r="A31" s="7" t="s">
        <v>54</v>
      </c>
      <c r="B31" s="8" t="str">
        <f>VLOOKUP(A31,'[1]1_MEDLEAPR_PME'!B:H,6,0)</f>
        <v>100.00</v>
      </c>
      <c r="C31" s="8">
        <f>VLOOKUP(A31,'[1]2_MEDLEAPR_MLC'!B:I,6,0)</f>
        <v>100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91.96</v>
      </c>
      <c r="G31" s="8">
        <f>VLOOKUP(A31,'[1]6_CCTNS_1_7'!B:P,13,0)</f>
        <v>100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44.256120527306997</v>
      </c>
      <c r="L31" s="8">
        <f>VLOOKUP(A31,'[1]11_CRIMAC'!B:F,4,0)</f>
        <v>100</v>
      </c>
      <c r="M31" s="8">
        <f>VLOOKUP(A31,'[1]12_CEIR'!B:L,10,0)</f>
        <v>50</v>
      </c>
      <c r="N31" s="8">
        <f>VLOOKUP(A31,'[1]13_EPROSEC'!B:H,4,0)</f>
        <v>100</v>
      </c>
      <c r="O31" s="8">
        <f>VLOOKUP(A31,'[1]14_FIR_CS_COURT'!B:L,11,0)</f>
        <v>68.307765366588896</v>
      </c>
      <c r="P31" s="8">
        <f>VLOOKUP(A31,'[1]15_EOFFICE'!B:K,9,0)</f>
        <v>0</v>
      </c>
      <c r="Q31" s="8">
        <f>VLOOKUP(A31,'[1]16_APOLIS'!B:K,10,0)</f>
        <v>62.5</v>
      </c>
      <c r="R31" s="8">
        <f>VLOOKUP(A31,'[1]17_DRONE_FLYING'!B:J,9,0)</f>
        <v>51</v>
      </c>
      <c r="S31" s="8">
        <f>VLOOKUP(A31,'[1]18_112_TABS'!B:H,6,0)</f>
        <v>100</v>
      </c>
      <c r="T31" s="8">
        <f>VLOOKUP(A31,'[1]19_DIAL100_RES'!B:H,6,0)</f>
        <v>69.160997732426296</v>
      </c>
      <c r="U31" s="8">
        <f>VLOOKUP(A31,'[1]20_CCTV_360'!B:S,17,0)</f>
        <v>21.428571428571399</v>
      </c>
      <c r="V31" s="8">
        <f>VLOOKUP(A31,'[1]21_NEWS360AI'!B:D,2,0)</f>
        <v>0</v>
      </c>
      <c r="W31" s="8">
        <f>VLOOKUP(A31,'[1]22_eFSL'!B:F,4,0)</f>
        <v>33.3333333333333</v>
      </c>
      <c r="X31" s="8">
        <f>VLOOKUP(A31,'[1]23_UC3'!B:D,2,0)</f>
        <v>0</v>
      </c>
      <c r="Y31" s="8">
        <f>VLOOKUP(A31,'[1]23_UC4'!B:D,3,0)</f>
        <v>0</v>
      </c>
    </row>
    <row r="32" spans="1:25" s="9" customFormat="1" ht="26.1" customHeight="1">
      <c r="A32" s="7" t="s">
        <v>55</v>
      </c>
      <c r="B32" s="8" t="str">
        <f>VLOOKUP(A32,'[1]1_MEDLEAPR_PME'!B:H,6,0)</f>
        <v>100.00</v>
      </c>
      <c r="C32" s="8">
        <f>VLOOKUP(A32,'[1]2_MEDLEAPR_MLC'!B:I,6,0)</f>
        <v>100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88.37</v>
      </c>
      <c r="G32" s="8">
        <f>VLOOKUP(A32,'[1]6_CCTNS_1_7'!B:P,13,0)</f>
        <v>88.84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61.490683229813698</v>
      </c>
      <c r="L32" s="8">
        <f>VLOOKUP(A32,'[1]11_CRIMAC'!B:F,4,0)</f>
        <v>100</v>
      </c>
      <c r="M32" s="8">
        <f>VLOOKUP(A32,'[1]12_CEIR'!B:L,10,0)</f>
        <v>50</v>
      </c>
      <c r="N32" s="8">
        <f>VLOOKUP(A32,'[1]13_EPROSEC'!B:H,4,0)</f>
        <v>25</v>
      </c>
      <c r="O32" s="8">
        <f>VLOOKUP(A32,'[1]14_FIR_CS_COURT'!B:L,11,0)</f>
        <v>77.754435107376295</v>
      </c>
      <c r="P32" s="8">
        <f>VLOOKUP(A32,'[1]15_EOFFICE'!B:K,9,0)</f>
        <v>0</v>
      </c>
      <c r="Q32" s="8">
        <f>VLOOKUP(A32,'[1]16_APOLIS'!B:K,10,0)</f>
        <v>67.857142857142904</v>
      </c>
      <c r="R32" s="8">
        <f>VLOOKUP(A32,'[1]17_DRONE_FLYING'!B:J,9,0)</f>
        <v>51</v>
      </c>
      <c r="S32" s="8">
        <f>VLOOKUP(A32,'[1]18_112_TABS'!B:H,6,0)</f>
        <v>100</v>
      </c>
      <c r="T32" s="8">
        <f>VLOOKUP(A32,'[1]19_DIAL100_RES'!B:H,6,0)</f>
        <v>0</v>
      </c>
      <c r="U32" s="8">
        <f>VLOOKUP(A32,'[1]20_CCTV_360'!B:S,17,0)</f>
        <v>0</v>
      </c>
      <c r="V32" s="8">
        <f>VLOOKUP(A32,'[1]21_NEWS360AI'!B:D,2,0)</f>
        <v>0</v>
      </c>
      <c r="W32" s="8">
        <f>VLOOKUP(A32,'[1]22_eFSL'!B:F,4,0)</f>
        <v>0</v>
      </c>
      <c r="X32" s="8">
        <f>VLOOKUP(A32,'[1]23_UC3'!B:D,2,0)</f>
        <v>0</v>
      </c>
      <c r="Y32" s="8">
        <f>VLOOKUP(A32,'[1]23_UC4'!B:D,3,0)</f>
        <v>0</v>
      </c>
    </row>
    <row r="33" spans="1:25" s="9" customFormat="1" ht="26.1" customHeight="1">
      <c r="A33" s="7" t="s">
        <v>56</v>
      </c>
      <c r="B33" s="8">
        <f>VLOOKUP(A33,'[1]1_MEDLEAPR_PME'!B:H,6,0)</f>
        <v>100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100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92.307692307692307</v>
      </c>
      <c r="L33" s="8">
        <f>VLOOKUP(A33,'[1]11_CRIMAC'!B:F,4,0)</f>
        <v>100</v>
      </c>
      <c r="M33" s="8">
        <f>VLOOKUP(A33,'[1]12_CEIR'!B:L,10,0)</f>
        <v>50</v>
      </c>
      <c r="N33" s="8">
        <f>VLOOKUP(A33,'[1]13_EPROSEC'!B:H,4,0)</f>
        <v>100</v>
      </c>
      <c r="O33" s="8">
        <f>VLOOKUP(A33,'[1]14_FIR_CS_COURT'!B:L,11,0)</f>
        <v>82.067888933173904</v>
      </c>
      <c r="P33" s="8">
        <f>VLOOKUP(A33,'[1]15_EOFFICE'!B:K,9,0)</f>
        <v>0</v>
      </c>
      <c r="Q33" s="8">
        <f>VLOOKUP(A33,'[1]16_APOLIS'!B:K,10,0)</f>
        <v>65</v>
      </c>
      <c r="R33" s="8">
        <f>VLOOKUP(A33,'[1]17_DRONE_FLYING'!B:J,9,0)</f>
        <v>54</v>
      </c>
      <c r="S33" s="8">
        <f>VLOOKUP(A33,'[1]18_112_TABS'!B:H,6,0)</f>
        <v>100</v>
      </c>
      <c r="T33" s="8">
        <f>VLOOKUP(A33,'[1]19_DIAL100_RES'!B:H,6,0)</f>
        <v>53.514739229024897</v>
      </c>
      <c r="U33" s="8">
        <f>VLOOKUP(A33,'[1]20_CCTV_360'!B:S,17,0)</f>
        <v>21.428571428571399</v>
      </c>
      <c r="V33" s="8">
        <f>VLOOKUP(A33,'[1]21_NEWS360AI'!B:D,2,0)</f>
        <v>0</v>
      </c>
      <c r="W33" s="8">
        <f>VLOOKUP(A33,'[1]22_eFSL'!B:F,4,0)</f>
        <v>100</v>
      </c>
      <c r="X33" s="8">
        <f>VLOOKUP(A33,'[1]23_UC3'!B:D,2,0)</f>
        <v>0</v>
      </c>
      <c r="Y33" s="8">
        <f>VLOOKUP(A33,'[1]23_UC4'!B:D,3,0)</f>
        <v>0</v>
      </c>
    </row>
    <row r="34" spans="1:25" s="9" customFormat="1" ht="26.1" customHeight="1">
      <c r="A34" s="7" t="s">
        <v>57</v>
      </c>
      <c r="B34" s="8">
        <f>VLOOKUP(A34,'[1]1_MEDLEAPR_PME'!B:H,6,0)</f>
        <v>100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88.84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80.952380952380906</v>
      </c>
      <c r="L34" s="8">
        <f>VLOOKUP(A34,'[1]11_CRIMAC'!B:F,4,0)</f>
        <v>100</v>
      </c>
      <c r="M34" s="8">
        <f>VLOOKUP(A34,'[1]12_CEIR'!B:L,10,0)</f>
        <v>50</v>
      </c>
      <c r="N34" s="8">
        <f>VLOOKUP(A34,'[1]13_EPROSEC'!B:H,4,0)</f>
        <v>100</v>
      </c>
      <c r="O34" s="8">
        <f>VLOOKUP(A34,'[1]14_FIR_CS_COURT'!B:L,11,0)</f>
        <v>76.966966966966993</v>
      </c>
      <c r="P34" s="8">
        <f>VLOOKUP(A34,'[1]15_EOFFICE'!B:K,9,0)</f>
        <v>0</v>
      </c>
      <c r="Q34" s="8">
        <f>VLOOKUP(A34,'[1]16_APOLIS'!B:K,10,0)</f>
        <v>65</v>
      </c>
      <c r="R34" s="8">
        <f>VLOOKUP(A34,'[1]17_DRONE_FLYING'!B:J,9,0)</f>
        <v>54</v>
      </c>
      <c r="S34" s="8">
        <f>VLOOKUP(A34,'[1]18_112_TABS'!B:H,6,0)</f>
        <v>100</v>
      </c>
      <c r="T34" s="8">
        <f>VLOOKUP(A34,'[1]19_DIAL100_RES'!B:H,6,0)</f>
        <v>74.829931972789097</v>
      </c>
      <c r="U34" s="8">
        <f>VLOOKUP(A34,'[1]20_CCTV_360'!B:S,17,0)</f>
        <v>21.428571428571399</v>
      </c>
      <c r="V34" s="8">
        <f>VLOOKUP(A34,'[1]21_NEWS360AI'!B:D,2,0)</f>
        <v>0</v>
      </c>
      <c r="W34" s="8">
        <f>VLOOKUP(A34,'[1]22_eFSL'!B:F,4,0)</f>
        <v>100</v>
      </c>
      <c r="X34" s="8">
        <f>VLOOKUP(A34,'[1]23_UC3'!B:D,2,0)</f>
        <v>0</v>
      </c>
      <c r="Y34" s="8">
        <f>VLOOKUP(A34,'[1]23_UC4'!B:D,3,0)</f>
        <v>0</v>
      </c>
    </row>
    <row r="35" spans="1:25" s="9" customFormat="1" ht="26.1" customHeight="1">
      <c r="A35" s="7" t="s">
        <v>58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81.69</v>
      </c>
      <c r="G35" s="8">
        <f>VLOOKUP(A35,'[1]6_CCTNS_1_7'!B:P,13,0)</f>
        <v>100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84.4444444444444</v>
      </c>
      <c r="L35" s="8">
        <f>VLOOKUP(A35,'[1]11_CRIMAC'!B:F,4,0)</f>
        <v>100</v>
      </c>
      <c r="M35" s="8">
        <f>VLOOKUP(A35,'[1]12_CEIR'!B:L,10,0)</f>
        <v>50</v>
      </c>
      <c r="N35" s="8">
        <f>VLOOKUP(A35,'[1]13_EPROSEC'!B:H,4,0)</f>
        <v>100</v>
      </c>
      <c r="O35" s="8">
        <f>VLOOKUP(A35,'[1]14_FIR_CS_COURT'!B:L,11,0)</f>
        <v>50</v>
      </c>
      <c r="P35" s="8">
        <f>VLOOKUP(A35,'[1]15_EOFFICE'!B:K,9,0)</f>
        <v>0</v>
      </c>
      <c r="Q35" s="8">
        <f>VLOOKUP(A35,'[1]16_APOLIS'!B:K,10,0)</f>
        <v>62.5</v>
      </c>
      <c r="R35" s="8">
        <f>VLOOKUP(A35,'[1]17_DRONE_FLYING'!B:J,9,0)</f>
        <v>54</v>
      </c>
      <c r="S35" s="8">
        <f>VLOOKUP(A35,'[1]18_112_TABS'!B:H,6,0)</f>
        <v>100</v>
      </c>
      <c r="T35" s="8">
        <f>VLOOKUP(A35,'[1]19_DIAL100_RES'!B:H,6,0)</f>
        <v>50</v>
      </c>
      <c r="U35" s="8">
        <f>VLOOKUP(A35,'[1]20_CCTV_360'!B:S,17,0)</f>
        <v>0</v>
      </c>
      <c r="V35" s="8">
        <f>VLOOKUP(A35,'[1]21_NEWS360AI'!B:D,2,0)</f>
        <v>0</v>
      </c>
      <c r="W35" s="8">
        <f>VLOOKUP(A35,'[1]22_eFSL'!B:F,4,0)</f>
        <v>100</v>
      </c>
      <c r="X35" s="8">
        <f>VLOOKUP(A35,'[1]23_UC3'!B:D,2,0)</f>
        <v>0</v>
      </c>
      <c r="Y35" s="8">
        <f>VLOOKUP(A35,'[1]23_UC4'!B:D,3,0)</f>
        <v>0</v>
      </c>
    </row>
  </sheetData>
  <pageMargins left="0.70866141732283505" right="0.70866141732283505" top="0.74803149606299202" bottom="0.74803149606299202" header="0.31496062992126" footer="0.31496062992126"/>
  <pageSetup paperSize="5" scale="91" fitToHeight="0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itcore Anakapalli</cp:lastModifiedBy>
  <dcterms:created xsi:type="dcterms:W3CDTF">2026-09-30T11:22:44Z</dcterms:created>
  <dcterms:modified xsi:type="dcterms:W3CDTF">2026-09-30T11:23:42Z</dcterms:modified>
</cp:coreProperties>
</file>