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P SMART POLICING DATA\"/>
    </mc:Choice>
  </mc:AlternateContent>
  <xr:revisionPtr revIDLastSave="0" documentId="8_{4CE1B67D-AE0C-4D48-B0A8-8790BB0EB4FD}" xr6:coauthVersionLast="47" xr6:coauthVersionMax="47" xr10:uidLastSave="{00000000-0000-0000-0000-000000000000}"/>
  <bookViews>
    <workbookView xWindow="-110" yWindow="-110" windowWidth="19420" windowHeight="11500" xr2:uid="{CDEEA6CA-1835-4529-8761-69C43E5B56E1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5" i="1" l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<sst xmlns="http://schemas.openxmlformats.org/spreadsheetml/2006/main" count="57" uniqueCount="57">
  <si>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</si>
  <si>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</si>
  <si>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</si>
  <si>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</si>
  <si>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</si>
  <si>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</si>
  <si>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</si>
  <si>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</si>
  <si>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</si>
  <si>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</si>
  <si>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</si>
  <si>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</si>
  <si>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</si>
  <si>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</si>
  <si>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</si>
  <si>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</si>
  <si>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>APOLIS _FP</t>
  </si>
  <si>
    <t>EDAR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</si>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</sst>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tcor\Downloads\SMART_POLICE_RAW_DATA%2008.10.2026.xlsx" TargetMode="External"/><Relationship Id="rId1" Type="http://schemas.openxmlformats.org/officeDocument/2006/relationships/externalLinkPath" Target="file:///C:\Users\itcor\Downloads\SMART_POLICE_RAW_DATA%2008.10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EIR"/>
      <sheetName val="12_EPROSEC"/>
      <sheetName val="13_FIR_CS_COURT"/>
      <sheetName val="14_EOFFICE"/>
      <sheetName val="15_APOLIS"/>
      <sheetName val="16_APOLICE_FP"/>
      <sheetName val="17_EDAR"/>
      <sheetName val="18_CCTV_360"/>
      <sheetName val="19_NEWS360AI"/>
      <sheetName val="20_eFSL"/>
      <sheetName val="21_UC3"/>
      <sheetName val="22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1</v>
          </cell>
          <cell r="D3">
            <v>1</v>
          </cell>
          <cell r="E3">
            <v>1</v>
          </cell>
          <cell r="F3">
            <v>100</v>
          </cell>
          <cell r="G3">
            <v>100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Anakapalli Traffic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C9">
            <v>1</v>
          </cell>
          <cell r="D9">
            <v>1</v>
          </cell>
          <cell r="E9">
            <v>1</v>
          </cell>
          <cell r="F9">
            <v>100</v>
          </cell>
          <cell r="G9">
            <v>100</v>
          </cell>
          <cell r="H9">
            <v>2.5</v>
          </cell>
        </row>
        <row r="10">
          <cell r="B10" t="str">
            <v>Chodavaram</v>
          </cell>
          <cell r="C10">
            <v>2</v>
          </cell>
          <cell r="D10">
            <v>2</v>
          </cell>
          <cell r="E10">
            <v>2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1</v>
          </cell>
          <cell r="D19">
            <v>1</v>
          </cell>
          <cell r="E19">
            <v>1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1</v>
          </cell>
          <cell r="F22">
            <v>100</v>
          </cell>
          <cell r="G22">
            <v>100</v>
          </cell>
          <cell r="H22">
            <v>2.5</v>
          </cell>
        </row>
        <row r="23">
          <cell r="B23" t="str">
            <v>Narsipatnam Town</v>
          </cell>
          <cell r="C23">
            <v>2</v>
          </cell>
          <cell r="D23">
            <v>2</v>
          </cell>
          <cell r="E23">
            <v>2</v>
          </cell>
          <cell r="F23">
            <v>100</v>
          </cell>
          <cell r="G23">
            <v>100</v>
          </cell>
          <cell r="H23">
            <v>2.5</v>
          </cell>
        </row>
        <row r="24">
          <cell r="B24" t="str">
            <v>Nathavaram</v>
          </cell>
          <cell r="C24">
            <v>2</v>
          </cell>
          <cell r="D24">
            <v>2</v>
          </cell>
          <cell r="E24">
            <v>2</v>
          </cell>
          <cell r="F24">
            <v>100</v>
          </cell>
          <cell r="G24">
            <v>100</v>
          </cell>
          <cell r="H24">
            <v>2.5</v>
          </cell>
        </row>
        <row r="25">
          <cell r="B25" t="str">
            <v>Parawada</v>
          </cell>
          <cell r="C25">
            <v>1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C26">
            <v>3</v>
          </cell>
          <cell r="D26">
            <v>3</v>
          </cell>
          <cell r="E26">
            <v>3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C28">
            <v>1</v>
          </cell>
          <cell r="D28">
            <v>1</v>
          </cell>
          <cell r="E28">
            <v>1</v>
          </cell>
          <cell r="F28">
            <v>100</v>
          </cell>
          <cell r="G28">
            <v>100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2</v>
          </cell>
          <cell r="F30">
            <v>100</v>
          </cell>
          <cell r="G30">
            <v>100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C32">
            <v>3</v>
          </cell>
          <cell r="D32">
            <v>3</v>
          </cell>
          <cell r="E32">
            <v>3</v>
          </cell>
          <cell r="F32">
            <v>100</v>
          </cell>
          <cell r="G32">
            <v>100</v>
          </cell>
          <cell r="H32">
            <v>2.5</v>
          </cell>
        </row>
        <row r="33">
          <cell r="B33" t="str">
            <v>Yelamanchili Rural</v>
          </cell>
          <cell r="C33">
            <v>5</v>
          </cell>
          <cell r="D33">
            <v>5</v>
          </cell>
          <cell r="E33">
            <v>5</v>
          </cell>
          <cell r="F33">
            <v>100</v>
          </cell>
          <cell r="G33">
            <v>100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28</v>
          </cell>
          <cell r="D36">
            <v>28</v>
          </cell>
          <cell r="E36">
            <v>28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F4" t="str">
            <v>100.00</v>
          </cell>
          <cell r="G4" t="str">
            <v>100.00</v>
          </cell>
          <cell r="H4">
            <v>2.5</v>
          </cell>
        </row>
        <row r="5">
          <cell r="B5" t="str">
            <v>Anakapalli Town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Anakapalli Traffic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F7" t="str">
            <v>100.00</v>
          </cell>
          <cell r="G7" t="str">
            <v>100.00</v>
          </cell>
          <cell r="H7">
            <v>2.5</v>
          </cell>
        </row>
        <row r="8">
          <cell r="B8" t="str">
            <v>Butchiyyapeta</v>
          </cell>
          <cell r="C8">
            <v>1</v>
          </cell>
          <cell r="D8">
            <v>1</v>
          </cell>
          <cell r="E8">
            <v>1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C11">
            <v>1</v>
          </cell>
          <cell r="D11">
            <v>1</v>
          </cell>
          <cell r="E11">
            <v>1</v>
          </cell>
          <cell r="F11">
            <v>100</v>
          </cell>
          <cell r="G11">
            <v>100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Kotavurtla</v>
          </cell>
          <cell r="C16">
            <v>1</v>
          </cell>
          <cell r="D16">
            <v>1</v>
          </cell>
          <cell r="E16">
            <v>1</v>
          </cell>
          <cell r="F16">
            <v>100</v>
          </cell>
          <cell r="G16">
            <v>100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3</v>
          </cell>
          <cell r="D19">
            <v>3</v>
          </cell>
          <cell r="E19">
            <v>3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3</v>
          </cell>
          <cell r="D25">
            <v>3</v>
          </cell>
          <cell r="E25">
            <v>3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Rambilli</v>
          </cell>
          <cell r="C27">
            <v>1</v>
          </cell>
          <cell r="D27">
            <v>1</v>
          </cell>
          <cell r="E27">
            <v>1</v>
          </cell>
          <cell r="F27">
            <v>100</v>
          </cell>
          <cell r="G27">
            <v>100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C29">
            <v>1</v>
          </cell>
          <cell r="D29">
            <v>1</v>
          </cell>
          <cell r="E29">
            <v>1</v>
          </cell>
          <cell r="F29">
            <v>100</v>
          </cell>
          <cell r="G29">
            <v>100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11</v>
          </cell>
          <cell r="D36">
            <v>11</v>
          </cell>
          <cell r="E36">
            <v>11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1609</v>
          </cell>
          <cell r="D3">
            <v>1734</v>
          </cell>
          <cell r="E3">
            <v>542</v>
          </cell>
          <cell r="F3">
            <v>98</v>
          </cell>
          <cell r="G3">
            <v>12144</v>
          </cell>
          <cell r="H3">
            <v>6781</v>
          </cell>
          <cell r="I3">
            <v>1376</v>
          </cell>
          <cell r="J3">
            <v>497</v>
          </cell>
          <cell r="K3">
            <v>584</v>
          </cell>
          <cell r="L3">
            <v>1614</v>
          </cell>
          <cell r="M3">
            <v>15.767557489123678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3642</v>
          </cell>
          <cell r="D4">
            <v>3251</v>
          </cell>
          <cell r="E4">
            <v>1402</v>
          </cell>
          <cell r="F4">
            <v>393</v>
          </cell>
          <cell r="G4">
            <v>12679</v>
          </cell>
          <cell r="H4">
            <v>17044</v>
          </cell>
          <cell r="I4">
            <v>3507</v>
          </cell>
          <cell r="J4">
            <v>1450</v>
          </cell>
          <cell r="K4">
            <v>2601</v>
          </cell>
          <cell r="L4">
            <v>4258</v>
          </cell>
          <cell r="M4">
            <v>12.79104887424492</v>
          </cell>
          <cell r="N4">
            <v>95.82</v>
          </cell>
          <cell r="O4">
            <v>2.3954999999999997</v>
          </cell>
        </row>
        <row r="5">
          <cell r="B5" t="str">
            <v>Anakapalli Town</v>
          </cell>
          <cell r="C5">
            <v>6269</v>
          </cell>
          <cell r="D5">
            <v>4253</v>
          </cell>
          <cell r="E5">
            <v>2218</v>
          </cell>
          <cell r="F5">
            <v>440</v>
          </cell>
          <cell r="G5">
            <v>21889</v>
          </cell>
          <cell r="H5">
            <v>21340</v>
          </cell>
          <cell r="I5">
            <v>5408</v>
          </cell>
          <cell r="J5">
            <v>3321</v>
          </cell>
          <cell r="K5">
            <v>3290</v>
          </cell>
          <cell r="L5">
            <v>5816</v>
          </cell>
          <cell r="M5">
            <v>10.843037167012282</v>
          </cell>
          <cell r="N5">
            <v>81.23</v>
          </cell>
          <cell r="O5">
            <v>2.0307500000000003</v>
          </cell>
        </row>
        <row r="6">
          <cell r="B6" t="str">
            <v>Anakapalli Traffic</v>
          </cell>
          <cell r="C6">
            <v>1009</v>
          </cell>
          <cell r="D6">
            <v>1043</v>
          </cell>
          <cell r="E6">
            <v>519</v>
          </cell>
          <cell r="F6">
            <v>0</v>
          </cell>
          <cell r="G6">
            <v>3894</v>
          </cell>
          <cell r="H6">
            <v>5831</v>
          </cell>
          <cell r="I6">
            <v>1331</v>
          </cell>
          <cell r="J6">
            <v>162</v>
          </cell>
          <cell r="K6">
            <v>988</v>
          </cell>
          <cell r="L6">
            <v>913</v>
          </cell>
          <cell r="M6">
            <v>14.550049554013874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3356</v>
          </cell>
          <cell r="D7">
            <v>3300</v>
          </cell>
          <cell r="E7">
            <v>1019</v>
          </cell>
          <cell r="F7">
            <v>677</v>
          </cell>
          <cell r="G7">
            <v>12328</v>
          </cell>
          <cell r="H7">
            <v>14957</v>
          </cell>
          <cell r="I7">
            <v>2884</v>
          </cell>
          <cell r="J7">
            <v>1450</v>
          </cell>
          <cell r="K7">
            <v>1445</v>
          </cell>
          <cell r="L7">
            <v>4562</v>
          </cell>
          <cell r="M7">
            <v>12.700238379022647</v>
          </cell>
          <cell r="N7">
            <v>95.14</v>
          </cell>
          <cell r="O7">
            <v>2.3785000000000003</v>
          </cell>
        </row>
        <row r="8">
          <cell r="B8" t="str">
            <v>Butchiyyapeta</v>
          </cell>
          <cell r="C8">
            <v>2532</v>
          </cell>
          <cell r="D8">
            <v>1901</v>
          </cell>
          <cell r="E8">
            <v>1194</v>
          </cell>
          <cell r="F8">
            <v>110</v>
          </cell>
          <cell r="G8">
            <v>8598</v>
          </cell>
          <cell r="H8">
            <v>11468</v>
          </cell>
          <cell r="I8">
            <v>2226</v>
          </cell>
          <cell r="J8">
            <v>806</v>
          </cell>
          <cell r="K8">
            <v>947</v>
          </cell>
          <cell r="L8">
            <v>2766</v>
          </cell>
          <cell r="M8">
            <v>11.854660347551343</v>
          </cell>
          <cell r="N8">
            <v>88.81</v>
          </cell>
          <cell r="O8">
            <v>2.2202500000000001</v>
          </cell>
        </row>
        <row r="9">
          <cell r="B9" t="str">
            <v>Cheedikada</v>
          </cell>
          <cell r="C9">
            <v>1711</v>
          </cell>
          <cell r="D9">
            <v>1788</v>
          </cell>
          <cell r="E9">
            <v>781</v>
          </cell>
          <cell r="F9">
            <v>702</v>
          </cell>
          <cell r="G9">
            <v>14881</v>
          </cell>
          <cell r="H9">
            <v>6917</v>
          </cell>
          <cell r="I9">
            <v>1415</v>
          </cell>
          <cell r="J9">
            <v>548</v>
          </cell>
          <cell r="K9">
            <v>625</v>
          </cell>
          <cell r="L9">
            <v>1449</v>
          </cell>
          <cell r="M9">
            <v>17.011104617182934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4711</v>
          </cell>
          <cell r="D10">
            <v>3213</v>
          </cell>
          <cell r="E10">
            <v>2441</v>
          </cell>
          <cell r="F10">
            <v>259</v>
          </cell>
          <cell r="G10">
            <v>18868</v>
          </cell>
          <cell r="H10">
            <v>21037</v>
          </cell>
          <cell r="I10">
            <v>4036</v>
          </cell>
          <cell r="J10">
            <v>1525</v>
          </cell>
          <cell r="K10">
            <v>1847</v>
          </cell>
          <cell r="L10">
            <v>5227</v>
          </cell>
          <cell r="M10">
            <v>12.407769051156867</v>
          </cell>
          <cell r="N10">
            <v>92.95</v>
          </cell>
          <cell r="O10">
            <v>2.32375</v>
          </cell>
        </row>
        <row r="11">
          <cell r="B11" t="str">
            <v>Devarapalli</v>
          </cell>
          <cell r="C11">
            <v>2765</v>
          </cell>
          <cell r="D11">
            <v>2909</v>
          </cell>
          <cell r="E11">
            <v>925</v>
          </cell>
          <cell r="F11">
            <v>76</v>
          </cell>
          <cell r="G11">
            <v>9481</v>
          </cell>
          <cell r="H11">
            <v>11133</v>
          </cell>
          <cell r="I11">
            <v>2285</v>
          </cell>
          <cell r="J11">
            <v>855</v>
          </cell>
          <cell r="K11">
            <v>855</v>
          </cell>
          <cell r="L11">
            <v>3590</v>
          </cell>
          <cell r="M11">
            <v>11.612658227848101</v>
          </cell>
          <cell r="N11">
            <v>86.99</v>
          </cell>
          <cell r="O11">
            <v>2.17475</v>
          </cell>
        </row>
        <row r="12">
          <cell r="B12" t="str">
            <v>Golugonda</v>
          </cell>
          <cell r="C12">
            <v>1610</v>
          </cell>
          <cell r="D12">
            <v>1847</v>
          </cell>
          <cell r="E12">
            <v>1294</v>
          </cell>
          <cell r="F12">
            <v>45</v>
          </cell>
          <cell r="G12">
            <v>9756</v>
          </cell>
          <cell r="H12">
            <v>7719</v>
          </cell>
          <cell r="I12">
            <v>1642</v>
          </cell>
          <cell r="J12">
            <v>711</v>
          </cell>
          <cell r="K12">
            <v>676</v>
          </cell>
          <cell r="L12">
            <v>1918</v>
          </cell>
          <cell r="M12">
            <v>15.905590062111802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1045</v>
          </cell>
          <cell r="D13">
            <v>1041</v>
          </cell>
          <cell r="E13">
            <v>793</v>
          </cell>
          <cell r="F13">
            <v>117</v>
          </cell>
          <cell r="G13">
            <v>3034</v>
          </cell>
          <cell r="H13">
            <v>4846</v>
          </cell>
          <cell r="I13">
            <v>945</v>
          </cell>
          <cell r="J13">
            <v>355</v>
          </cell>
          <cell r="K13">
            <v>262</v>
          </cell>
          <cell r="L13">
            <v>904</v>
          </cell>
          <cell r="M13">
            <v>11.767464114832537</v>
          </cell>
          <cell r="N13">
            <v>88.15</v>
          </cell>
          <cell r="O13">
            <v>2.2037500000000003</v>
          </cell>
        </row>
        <row r="14">
          <cell r="B14" t="str">
            <v>K.Kotapadu</v>
          </cell>
          <cell r="C14">
            <v>1784</v>
          </cell>
          <cell r="D14">
            <v>1824</v>
          </cell>
          <cell r="E14">
            <v>546</v>
          </cell>
          <cell r="F14">
            <v>99</v>
          </cell>
          <cell r="G14">
            <v>7338</v>
          </cell>
          <cell r="H14">
            <v>8968</v>
          </cell>
          <cell r="I14">
            <v>1551</v>
          </cell>
          <cell r="J14">
            <v>550</v>
          </cell>
          <cell r="K14">
            <v>664</v>
          </cell>
          <cell r="L14">
            <v>2128</v>
          </cell>
          <cell r="M14">
            <v>13.266816143497758</v>
          </cell>
          <cell r="N14">
            <v>99.39</v>
          </cell>
          <cell r="O14">
            <v>2.48475</v>
          </cell>
        </row>
        <row r="15">
          <cell r="B15" t="str">
            <v>Kasimkota</v>
          </cell>
          <cell r="C15">
            <v>3736</v>
          </cell>
          <cell r="D15">
            <v>3789</v>
          </cell>
          <cell r="E15">
            <v>1666</v>
          </cell>
          <cell r="F15">
            <v>233</v>
          </cell>
          <cell r="G15">
            <v>18533</v>
          </cell>
          <cell r="H15">
            <v>16109</v>
          </cell>
          <cell r="I15">
            <v>3252</v>
          </cell>
          <cell r="J15">
            <v>1461</v>
          </cell>
          <cell r="K15">
            <v>2441</v>
          </cell>
          <cell r="L15">
            <v>3105</v>
          </cell>
          <cell r="M15">
            <v>13.54095289079229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2349</v>
          </cell>
          <cell r="D16">
            <v>1845</v>
          </cell>
          <cell r="E16">
            <v>697</v>
          </cell>
          <cell r="F16">
            <v>261</v>
          </cell>
          <cell r="G16">
            <v>12562</v>
          </cell>
          <cell r="H16">
            <v>6953</v>
          </cell>
          <cell r="I16">
            <v>2200</v>
          </cell>
          <cell r="J16">
            <v>674</v>
          </cell>
          <cell r="K16">
            <v>657</v>
          </cell>
          <cell r="L16">
            <v>2873</v>
          </cell>
          <cell r="M16">
            <v>12.227330779054917</v>
          </cell>
          <cell r="N16">
            <v>91.6</v>
          </cell>
          <cell r="O16">
            <v>2.29</v>
          </cell>
        </row>
        <row r="17">
          <cell r="B17" t="str">
            <v>Kothakota</v>
          </cell>
          <cell r="C17">
            <v>1931</v>
          </cell>
          <cell r="D17">
            <v>1945</v>
          </cell>
          <cell r="E17">
            <v>724</v>
          </cell>
          <cell r="F17">
            <v>941</v>
          </cell>
          <cell r="G17">
            <v>7961</v>
          </cell>
          <cell r="H17">
            <v>8471</v>
          </cell>
          <cell r="I17">
            <v>1725</v>
          </cell>
          <cell r="J17">
            <v>706</v>
          </cell>
          <cell r="K17">
            <v>656</v>
          </cell>
          <cell r="L17">
            <v>1967</v>
          </cell>
          <cell r="M17">
            <v>12.996374935266701</v>
          </cell>
          <cell r="N17">
            <v>97.36</v>
          </cell>
          <cell r="O17">
            <v>2.4340000000000002</v>
          </cell>
        </row>
        <row r="18">
          <cell r="B18" t="str">
            <v>Mahila UPS, Anakapalli</v>
          </cell>
          <cell r="C18">
            <v>845</v>
          </cell>
          <cell r="D18">
            <v>559</v>
          </cell>
          <cell r="E18">
            <v>80</v>
          </cell>
          <cell r="F18">
            <v>5</v>
          </cell>
          <cell r="G18">
            <v>3697</v>
          </cell>
          <cell r="H18">
            <v>7733</v>
          </cell>
          <cell r="I18">
            <v>1022</v>
          </cell>
          <cell r="J18">
            <v>25</v>
          </cell>
          <cell r="K18">
            <v>419</v>
          </cell>
          <cell r="L18">
            <v>2857</v>
          </cell>
          <cell r="M18">
            <v>19.404733727810651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2733</v>
          </cell>
          <cell r="D19">
            <v>1025</v>
          </cell>
          <cell r="E19">
            <v>799</v>
          </cell>
          <cell r="F19">
            <v>247</v>
          </cell>
          <cell r="G19">
            <v>16904</v>
          </cell>
          <cell r="H19">
            <v>9265</v>
          </cell>
          <cell r="I19">
            <v>2520</v>
          </cell>
          <cell r="J19">
            <v>884</v>
          </cell>
          <cell r="K19">
            <v>1411</v>
          </cell>
          <cell r="L19">
            <v>3063</v>
          </cell>
          <cell r="M19">
            <v>13.215514087083791</v>
          </cell>
          <cell r="N19">
            <v>99</v>
          </cell>
          <cell r="O19">
            <v>2.4750000000000001</v>
          </cell>
        </row>
        <row r="20">
          <cell r="B20" t="str">
            <v>Munagapaka</v>
          </cell>
          <cell r="C20">
            <v>2466</v>
          </cell>
          <cell r="D20">
            <v>2591</v>
          </cell>
          <cell r="E20">
            <v>752</v>
          </cell>
          <cell r="F20">
            <v>126</v>
          </cell>
          <cell r="G20">
            <v>9653</v>
          </cell>
          <cell r="H20">
            <v>11154</v>
          </cell>
          <cell r="I20">
            <v>1994</v>
          </cell>
          <cell r="J20">
            <v>1060</v>
          </cell>
          <cell r="K20">
            <v>1321</v>
          </cell>
          <cell r="L20">
            <v>3352</v>
          </cell>
          <cell r="M20">
            <v>12.977696674776967</v>
          </cell>
          <cell r="N20">
            <v>97.22</v>
          </cell>
          <cell r="O20">
            <v>2.4305000000000003</v>
          </cell>
        </row>
        <row r="21">
          <cell r="B21" t="str">
            <v>Nakkapalli</v>
          </cell>
          <cell r="C21">
            <v>3286</v>
          </cell>
          <cell r="D21">
            <v>3317</v>
          </cell>
          <cell r="E21">
            <v>674</v>
          </cell>
          <cell r="F21">
            <v>1013</v>
          </cell>
          <cell r="G21">
            <v>24803</v>
          </cell>
          <cell r="H21">
            <v>14857</v>
          </cell>
          <cell r="I21">
            <v>2969</v>
          </cell>
          <cell r="J21">
            <v>1368</v>
          </cell>
          <cell r="K21">
            <v>1327</v>
          </cell>
          <cell r="L21">
            <v>3880</v>
          </cell>
          <cell r="M21">
            <v>16.496652465003041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1493</v>
          </cell>
          <cell r="D22">
            <v>1525</v>
          </cell>
          <cell r="E22">
            <v>798</v>
          </cell>
          <cell r="F22">
            <v>122</v>
          </cell>
          <cell r="G22">
            <v>5995</v>
          </cell>
          <cell r="H22">
            <v>6990</v>
          </cell>
          <cell r="I22">
            <v>1429</v>
          </cell>
          <cell r="J22">
            <v>627</v>
          </cell>
          <cell r="K22">
            <v>778</v>
          </cell>
          <cell r="L22">
            <v>1665</v>
          </cell>
          <cell r="M22">
            <v>13.348292029470864</v>
          </cell>
          <cell r="N22">
            <v>100</v>
          </cell>
          <cell r="O22">
            <v>2.5</v>
          </cell>
        </row>
        <row r="23">
          <cell r="B23" t="str">
            <v>Narsipatnam Town</v>
          </cell>
          <cell r="C23">
            <v>4345</v>
          </cell>
          <cell r="D23">
            <v>4119</v>
          </cell>
          <cell r="E23">
            <v>2284</v>
          </cell>
          <cell r="F23">
            <v>349</v>
          </cell>
          <cell r="G23">
            <v>11970</v>
          </cell>
          <cell r="H23">
            <v>17629</v>
          </cell>
          <cell r="I23">
            <v>4213</v>
          </cell>
          <cell r="J23">
            <v>1830</v>
          </cell>
          <cell r="K23">
            <v>1495</v>
          </cell>
          <cell r="L23">
            <v>4600</v>
          </cell>
          <cell r="M23">
            <v>11.159723820483315</v>
          </cell>
          <cell r="N23">
            <v>83.6</v>
          </cell>
          <cell r="O23">
            <v>2.09</v>
          </cell>
        </row>
        <row r="24">
          <cell r="B24" t="str">
            <v>Nathavaram</v>
          </cell>
          <cell r="C24">
            <v>2374</v>
          </cell>
          <cell r="D24">
            <v>2214</v>
          </cell>
          <cell r="E24">
            <v>1108</v>
          </cell>
          <cell r="F24">
            <v>40</v>
          </cell>
          <cell r="G24">
            <v>6438</v>
          </cell>
          <cell r="H24">
            <v>9479</v>
          </cell>
          <cell r="I24">
            <v>2120</v>
          </cell>
          <cell r="J24">
            <v>1010</v>
          </cell>
          <cell r="K24">
            <v>933</v>
          </cell>
          <cell r="L24">
            <v>2928</v>
          </cell>
          <cell r="M24">
            <v>11.065711878685763</v>
          </cell>
          <cell r="N24">
            <v>82.9</v>
          </cell>
          <cell r="O24">
            <v>2.0725000000000002</v>
          </cell>
        </row>
        <row r="25">
          <cell r="B25" t="str">
            <v>Parawada</v>
          </cell>
          <cell r="C25">
            <v>3761</v>
          </cell>
          <cell r="D25">
            <v>1798</v>
          </cell>
          <cell r="E25">
            <v>2338</v>
          </cell>
          <cell r="F25">
            <v>442</v>
          </cell>
          <cell r="G25">
            <v>18202</v>
          </cell>
          <cell r="H25">
            <v>19153</v>
          </cell>
          <cell r="I25">
            <v>3156</v>
          </cell>
          <cell r="J25">
            <v>1823</v>
          </cell>
          <cell r="K25">
            <v>2023</v>
          </cell>
          <cell r="L25">
            <v>3989</v>
          </cell>
          <cell r="M25">
            <v>14.071789417708056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3940</v>
          </cell>
          <cell r="D26">
            <v>3266</v>
          </cell>
          <cell r="E26">
            <v>1671</v>
          </cell>
          <cell r="F26">
            <v>193</v>
          </cell>
          <cell r="G26">
            <v>24388</v>
          </cell>
          <cell r="H26">
            <v>18242</v>
          </cell>
          <cell r="I26">
            <v>3327</v>
          </cell>
          <cell r="J26">
            <v>1686</v>
          </cell>
          <cell r="K26">
            <v>1314</v>
          </cell>
          <cell r="L26">
            <v>5206</v>
          </cell>
          <cell r="M26">
            <v>15.048984771573604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2475</v>
          </cell>
          <cell r="D27">
            <v>2796</v>
          </cell>
          <cell r="E27">
            <v>718</v>
          </cell>
          <cell r="F27">
            <v>84</v>
          </cell>
          <cell r="G27">
            <v>13260</v>
          </cell>
          <cell r="H27">
            <v>10453</v>
          </cell>
          <cell r="I27">
            <v>2100</v>
          </cell>
          <cell r="J27">
            <v>1134</v>
          </cell>
          <cell r="K27">
            <v>1147</v>
          </cell>
          <cell r="L27">
            <v>3000</v>
          </cell>
          <cell r="M27">
            <v>14.016969696969698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2180</v>
          </cell>
          <cell r="D28">
            <v>1755</v>
          </cell>
          <cell r="E28">
            <v>710</v>
          </cell>
          <cell r="F28">
            <v>222</v>
          </cell>
          <cell r="G28">
            <v>12762</v>
          </cell>
          <cell r="H28">
            <v>7203</v>
          </cell>
          <cell r="I28">
            <v>2218</v>
          </cell>
          <cell r="J28">
            <v>515</v>
          </cell>
          <cell r="K28">
            <v>824</v>
          </cell>
          <cell r="L28">
            <v>2561</v>
          </cell>
          <cell r="M28">
            <v>13.197247706422019</v>
          </cell>
          <cell r="N28">
            <v>98.87</v>
          </cell>
          <cell r="O28">
            <v>2.4717500000000001</v>
          </cell>
        </row>
        <row r="29">
          <cell r="B29" t="str">
            <v>Rolugunta</v>
          </cell>
          <cell r="C29">
            <v>1968</v>
          </cell>
          <cell r="D29">
            <v>1626</v>
          </cell>
          <cell r="E29">
            <v>1573</v>
          </cell>
          <cell r="F29">
            <v>226</v>
          </cell>
          <cell r="G29">
            <v>8735</v>
          </cell>
          <cell r="H29">
            <v>7763</v>
          </cell>
          <cell r="I29">
            <v>1805</v>
          </cell>
          <cell r="J29">
            <v>883</v>
          </cell>
          <cell r="K29">
            <v>671</v>
          </cell>
          <cell r="L29">
            <v>1883</v>
          </cell>
          <cell r="M29">
            <v>12.787093495934959</v>
          </cell>
          <cell r="N29">
            <v>95.79</v>
          </cell>
          <cell r="O29">
            <v>2.3947500000000002</v>
          </cell>
        </row>
        <row r="30">
          <cell r="B30" t="str">
            <v>S.Rayavaram</v>
          </cell>
          <cell r="C30">
            <v>3616</v>
          </cell>
          <cell r="D30">
            <v>3726</v>
          </cell>
          <cell r="E30">
            <v>969</v>
          </cell>
          <cell r="F30">
            <v>206</v>
          </cell>
          <cell r="G30">
            <v>8476</v>
          </cell>
          <cell r="H30">
            <v>14632</v>
          </cell>
          <cell r="I30">
            <v>3162</v>
          </cell>
          <cell r="J30">
            <v>1517</v>
          </cell>
          <cell r="K30">
            <v>1332</v>
          </cell>
          <cell r="L30">
            <v>4021</v>
          </cell>
          <cell r="M30">
            <v>10.520188053097344</v>
          </cell>
          <cell r="N30">
            <v>78.81</v>
          </cell>
          <cell r="O30">
            <v>1.9702500000000001</v>
          </cell>
        </row>
        <row r="31">
          <cell r="B31" t="str">
            <v>Sabbavaram</v>
          </cell>
          <cell r="C31">
            <v>3456</v>
          </cell>
          <cell r="D31">
            <v>3342</v>
          </cell>
          <cell r="E31">
            <v>1015</v>
          </cell>
          <cell r="F31">
            <v>228</v>
          </cell>
          <cell r="G31">
            <v>13951</v>
          </cell>
          <cell r="H31">
            <v>12412</v>
          </cell>
          <cell r="I31">
            <v>3252</v>
          </cell>
          <cell r="J31">
            <v>1255</v>
          </cell>
          <cell r="K31">
            <v>2384</v>
          </cell>
          <cell r="L31">
            <v>4009</v>
          </cell>
          <cell r="M31">
            <v>12.108796296296296</v>
          </cell>
          <cell r="N31">
            <v>90.71</v>
          </cell>
          <cell r="O31">
            <v>2.2677499999999999</v>
          </cell>
        </row>
        <row r="32">
          <cell r="B32" t="str">
            <v>V.Madugula</v>
          </cell>
          <cell r="C32">
            <v>2825</v>
          </cell>
          <cell r="D32">
            <v>2891</v>
          </cell>
          <cell r="E32">
            <v>1522</v>
          </cell>
          <cell r="F32">
            <v>156</v>
          </cell>
          <cell r="G32">
            <v>8366</v>
          </cell>
          <cell r="H32">
            <v>12695</v>
          </cell>
          <cell r="I32">
            <v>2595</v>
          </cell>
          <cell r="J32">
            <v>978</v>
          </cell>
          <cell r="K32">
            <v>1104</v>
          </cell>
          <cell r="L32">
            <v>3401</v>
          </cell>
          <cell r="M32">
            <v>11.932035398230088</v>
          </cell>
          <cell r="N32">
            <v>89.39</v>
          </cell>
          <cell r="O32">
            <v>2.23475</v>
          </cell>
        </row>
        <row r="33">
          <cell r="B33" t="str">
            <v>Yelamanchili Rural</v>
          </cell>
          <cell r="C33">
            <v>2311</v>
          </cell>
          <cell r="D33">
            <v>2258</v>
          </cell>
          <cell r="E33">
            <v>533</v>
          </cell>
          <cell r="F33">
            <v>376</v>
          </cell>
          <cell r="G33">
            <v>13891</v>
          </cell>
          <cell r="H33">
            <v>10186</v>
          </cell>
          <cell r="I33">
            <v>2115</v>
          </cell>
          <cell r="J33">
            <v>830</v>
          </cell>
          <cell r="K33">
            <v>1012</v>
          </cell>
          <cell r="L33">
            <v>2746</v>
          </cell>
          <cell r="M33">
            <v>14.68931198615318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1839</v>
          </cell>
          <cell r="D34">
            <v>1700</v>
          </cell>
          <cell r="E34">
            <v>431</v>
          </cell>
          <cell r="F34">
            <v>408</v>
          </cell>
          <cell r="G34">
            <v>11122</v>
          </cell>
          <cell r="H34">
            <v>7918</v>
          </cell>
          <cell r="I34">
            <v>1732</v>
          </cell>
          <cell r="J34">
            <v>746</v>
          </cell>
          <cell r="K34">
            <v>735</v>
          </cell>
          <cell r="L34">
            <v>1565</v>
          </cell>
          <cell r="M34">
            <v>14.332245785753127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46</v>
          </cell>
          <cell r="D35">
            <v>46</v>
          </cell>
          <cell r="E35">
            <v>0</v>
          </cell>
          <cell r="F35">
            <v>0</v>
          </cell>
          <cell r="G35">
            <v>196</v>
          </cell>
          <cell r="H35">
            <v>144</v>
          </cell>
          <cell r="I35">
            <v>46</v>
          </cell>
          <cell r="J35">
            <v>0</v>
          </cell>
          <cell r="K35">
            <v>23</v>
          </cell>
          <cell r="L35">
            <v>46</v>
          </cell>
          <cell r="M35">
            <v>10.891304347826088</v>
          </cell>
          <cell r="N35">
            <v>81.59</v>
          </cell>
          <cell r="O35">
            <v>2.0397500000000002</v>
          </cell>
        </row>
        <row r="36">
          <cell r="C36">
            <v>86018</v>
          </cell>
          <cell r="D36">
            <v>76237</v>
          </cell>
          <cell r="E36">
            <v>34736</v>
          </cell>
          <cell r="F36">
            <v>8894</v>
          </cell>
          <cell r="G36">
            <v>386755</v>
          </cell>
          <cell r="H36">
            <v>367482</v>
          </cell>
          <cell r="I36">
            <v>77558</v>
          </cell>
          <cell r="J36">
            <v>33242</v>
          </cell>
          <cell r="K36">
            <v>38791</v>
          </cell>
          <cell r="L36">
            <v>97862</v>
          </cell>
          <cell r="M36">
            <v>13.348695280969437</v>
          </cell>
          <cell r="N36">
            <v>94.403636363636352</v>
          </cell>
          <cell r="O36">
            <v>2.3600909090909088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2</v>
          </cell>
          <cell r="D3">
            <v>2</v>
          </cell>
          <cell r="E3">
            <v>0</v>
          </cell>
          <cell r="F3">
            <v>0</v>
          </cell>
          <cell r="G3">
            <v>9</v>
          </cell>
          <cell r="H3">
            <v>13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12.5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2</v>
          </cell>
          <cell r="D4">
            <v>1</v>
          </cell>
          <cell r="E4">
            <v>0</v>
          </cell>
          <cell r="F4">
            <v>0</v>
          </cell>
          <cell r="G4">
            <v>4</v>
          </cell>
          <cell r="H4">
            <v>14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9.5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6</v>
          </cell>
          <cell r="D5">
            <v>6</v>
          </cell>
          <cell r="E5">
            <v>0</v>
          </cell>
          <cell r="F5">
            <v>0</v>
          </cell>
          <cell r="G5">
            <v>6</v>
          </cell>
          <cell r="H5">
            <v>21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5.666666666666667</v>
          </cell>
          <cell r="N5">
            <v>69.72</v>
          </cell>
          <cell r="O5">
            <v>1.7430000000000001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50</v>
          </cell>
          <cell r="O6">
            <v>1.25</v>
          </cell>
        </row>
        <row r="7">
          <cell r="B7" t="str">
            <v>Atchutapuram</v>
          </cell>
          <cell r="C7">
            <v>7</v>
          </cell>
          <cell r="D7">
            <v>7</v>
          </cell>
          <cell r="E7">
            <v>0</v>
          </cell>
          <cell r="F7">
            <v>2</v>
          </cell>
          <cell r="G7">
            <v>49</v>
          </cell>
          <cell r="H7">
            <v>18</v>
          </cell>
          <cell r="I7">
            <v>0</v>
          </cell>
          <cell r="J7">
            <v>0</v>
          </cell>
          <cell r="K7">
            <v>0</v>
          </cell>
          <cell r="L7">
            <v>2</v>
          </cell>
          <cell r="M7">
            <v>11.142857142857142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5</v>
          </cell>
          <cell r="D8">
            <v>4</v>
          </cell>
          <cell r="E8">
            <v>0</v>
          </cell>
          <cell r="F8">
            <v>2</v>
          </cell>
          <cell r="G8">
            <v>12</v>
          </cell>
          <cell r="H8">
            <v>7</v>
          </cell>
          <cell r="I8">
            <v>0</v>
          </cell>
          <cell r="J8">
            <v>0</v>
          </cell>
          <cell r="K8">
            <v>0</v>
          </cell>
          <cell r="L8">
            <v>4</v>
          </cell>
          <cell r="M8">
            <v>5.8</v>
          </cell>
          <cell r="N8">
            <v>71.36</v>
          </cell>
          <cell r="O8">
            <v>1.784</v>
          </cell>
        </row>
        <row r="9">
          <cell r="B9" t="str">
            <v>Cheedikada</v>
          </cell>
          <cell r="C9">
            <v>1</v>
          </cell>
          <cell r="D9">
            <v>1</v>
          </cell>
          <cell r="E9">
            <v>0</v>
          </cell>
          <cell r="F9">
            <v>0</v>
          </cell>
          <cell r="G9">
            <v>2</v>
          </cell>
          <cell r="H9">
            <v>7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10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6</v>
          </cell>
          <cell r="D10">
            <v>6</v>
          </cell>
          <cell r="E10">
            <v>1</v>
          </cell>
          <cell r="F10">
            <v>0</v>
          </cell>
          <cell r="G10">
            <v>19</v>
          </cell>
          <cell r="H10">
            <v>7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5.5</v>
          </cell>
          <cell r="N10">
            <v>67.67</v>
          </cell>
          <cell r="O10">
            <v>1.6917500000000001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2</v>
          </cell>
          <cell r="F11">
            <v>0</v>
          </cell>
          <cell r="G11">
            <v>5</v>
          </cell>
          <cell r="H11">
            <v>13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7.666666666666667</v>
          </cell>
          <cell r="N11">
            <v>94.33</v>
          </cell>
          <cell r="O11">
            <v>2.35825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5</v>
          </cell>
          <cell r="H12">
            <v>4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12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3</v>
          </cell>
          <cell r="H13">
            <v>5</v>
          </cell>
          <cell r="I13">
            <v>0</v>
          </cell>
          <cell r="J13">
            <v>0</v>
          </cell>
          <cell r="K13">
            <v>0</v>
          </cell>
          <cell r="L13">
            <v>5</v>
          </cell>
          <cell r="M13">
            <v>14</v>
          </cell>
          <cell r="N13">
            <v>100</v>
          </cell>
          <cell r="O13">
            <v>2.5</v>
          </cell>
        </row>
        <row r="14">
          <cell r="B14" t="str">
            <v>K.Kotapadu</v>
          </cell>
          <cell r="C14">
            <v>6</v>
          </cell>
          <cell r="D14">
            <v>6</v>
          </cell>
          <cell r="E14">
            <v>0</v>
          </cell>
          <cell r="F14">
            <v>0</v>
          </cell>
          <cell r="G14">
            <v>16</v>
          </cell>
          <cell r="H14">
            <v>21</v>
          </cell>
          <cell r="I14">
            <v>0</v>
          </cell>
          <cell r="J14">
            <v>0</v>
          </cell>
          <cell r="K14">
            <v>0</v>
          </cell>
          <cell r="L14">
            <v>5</v>
          </cell>
          <cell r="M14">
            <v>8</v>
          </cell>
          <cell r="N14">
            <v>98.43</v>
          </cell>
          <cell r="O14">
            <v>2.4607500000000004</v>
          </cell>
        </row>
        <row r="15">
          <cell r="B15" t="str">
            <v>Kasimkota</v>
          </cell>
          <cell r="C15">
            <v>3</v>
          </cell>
          <cell r="D15">
            <v>3</v>
          </cell>
          <cell r="E15">
            <v>0</v>
          </cell>
          <cell r="F15">
            <v>0</v>
          </cell>
          <cell r="G15">
            <v>35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12.666666666666666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1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3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7</v>
          </cell>
          <cell r="N16">
            <v>86.13</v>
          </cell>
          <cell r="O16">
            <v>2.1532499999999999</v>
          </cell>
        </row>
        <row r="17">
          <cell r="B17" t="str">
            <v>Kothakota</v>
          </cell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29</v>
          </cell>
          <cell r="H17">
            <v>5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37</v>
          </cell>
          <cell r="N17">
            <v>100</v>
          </cell>
          <cell r="O17">
            <v>2.5</v>
          </cell>
        </row>
        <row r="18">
          <cell r="B18" t="str">
            <v>Mahila UPS, Anakapalli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 t="str">
            <v>Makavarapalem</v>
          </cell>
          <cell r="C19">
            <v>5</v>
          </cell>
          <cell r="D19">
            <v>5</v>
          </cell>
          <cell r="E19">
            <v>0</v>
          </cell>
          <cell r="F19">
            <v>0</v>
          </cell>
          <cell r="G19">
            <v>22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5.4</v>
          </cell>
          <cell r="N19">
            <v>66.44</v>
          </cell>
          <cell r="O19">
            <v>1.661</v>
          </cell>
        </row>
        <row r="20">
          <cell r="B20" t="str">
            <v>Munagapaka</v>
          </cell>
          <cell r="C20">
            <v>2</v>
          </cell>
          <cell r="D20">
            <v>1</v>
          </cell>
          <cell r="E20">
            <v>0</v>
          </cell>
          <cell r="F20">
            <v>2</v>
          </cell>
          <cell r="G20">
            <v>3</v>
          </cell>
          <cell r="H20">
            <v>4</v>
          </cell>
          <cell r="I20">
            <v>0</v>
          </cell>
          <cell r="J20">
            <v>0</v>
          </cell>
          <cell r="K20">
            <v>0</v>
          </cell>
          <cell r="L20">
            <v>1</v>
          </cell>
          <cell r="M20">
            <v>5.5</v>
          </cell>
          <cell r="N20">
            <v>67.67</v>
          </cell>
          <cell r="O20">
            <v>1.6917500000000001</v>
          </cell>
        </row>
        <row r="21">
          <cell r="B21" t="str">
            <v>Nakkapalli</v>
          </cell>
          <cell r="C21">
            <v>3</v>
          </cell>
          <cell r="D21">
            <v>3</v>
          </cell>
          <cell r="E21">
            <v>0</v>
          </cell>
          <cell r="F21">
            <v>0</v>
          </cell>
          <cell r="G21">
            <v>24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9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0</v>
          </cell>
          <cell r="F22">
            <v>0</v>
          </cell>
          <cell r="G22">
            <v>1</v>
          </cell>
          <cell r="H22">
            <v>5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</v>
          </cell>
          <cell r="N22">
            <v>86.13</v>
          </cell>
          <cell r="O22">
            <v>2.1532499999999999</v>
          </cell>
        </row>
        <row r="23">
          <cell r="B23" t="str">
            <v>Narsipatnam Town</v>
          </cell>
          <cell r="C23">
            <v>5</v>
          </cell>
          <cell r="D23">
            <v>10</v>
          </cell>
          <cell r="E23">
            <v>0</v>
          </cell>
          <cell r="F23">
            <v>0</v>
          </cell>
          <cell r="G23">
            <v>5</v>
          </cell>
          <cell r="H23">
            <v>19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6.8</v>
          </cell>
          <cell r="N23">
            <v>83.67</v>
          </cell>
          <cell r="O23">
            <v>2.0917500000000002</v>
          </cell>
        </row>
        <row r="24">
          <cell r="B24" t="str">
            <v>Nathavaram</v>
          </cell>
          <cell r="C24">
            <v>4</v>
          </cell>
          <cell r="D24">
            <v>4</v>
          </cell>
          <cell r="E24">
            <v>0</v>
          </cell>
          <cell r="F24">
            <v>0</v>
          </cell>
          <cell r="G24">
            <v>20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8</v>
          </cell>
          <cell r="M24">
            <v>8</v>
          </cell>
          <cell r="N24">
            <v>98.43</v>
          </cell>
          <cell r="O24">
            <v>2.4607500000000004</v>
          </cell>
        </row>
        <row r="25">
          <cell r="B25" t="str">
            <v>Parawada</v>
          </cell>
          <cell r="C25">
            <v>7</v>
          </cell>
          <cell r="D25">
            <v>6</v>
          </cell>
          <cell r="E25">
            <v>0</v>
          </cell>
          <cell r="F25">
            <v>0</v>
          </cell>
          <cell r="G25">
            <v>33</v>
          </cell>
          <cell r="H25">
            <v>9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6.8571428571428568</v>
          </cell>
          <cell r="N25">
            <v>84.37</v>
          </cell>
          <cell r="O25">
            <v>2.1092500000000003</v>
          </cell>
        </row>
        <row r="26">
          <cell r="B26" t="str">
            <v>Payakaraopeta</v>
          </cell>
          <cell r="C26">
            <v>6</v>
          </cell>
          <cell r="D26">
            <v>5</v>
          </cell>
          <cell r="E26">
            <v>0</v>
          </cell>
          <cell r="F26">
            <v>1</v>
          </cell>
          <cell r="G26">
            <v>37</v>
          </cell>
          <cell r="H26">
            <v>5</v>
          </cell>
          <cell r="I26">
            <v>0</v>
          </cell>
          <cell r="J26">
            <v>0</v>
          </cell>
          <cell r="K26">
            <v>0</v>
          </cell>
          <cell r="L26">
            <v>4</v>
          </cell>
          <cell r="M26">
            <v>8.6666666666666661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6</v>
          </cell>
          <cell r="D27">
            <v>5</v>
          </cell>
          <cell r="E27">
            <v>0</v>
          </cell>
          <cell r="F27">
            <v>2</v>
          </cell>
          <cell r="G27">
            <v>13</v>
          </cell>
          <cell r="H27">
            <v>4</v>
          </cell>
          <cell r="I27">
            <v>0</v>
          </cell>
          <cell r="J27">
            <v>1</v>
          </cell>
          <cell r="K27">
            <v>0</v>
          </cell>
          <cell r="L27">
            <v>2</v>
          </cell>
          <cell r="M27">
            <v>4.5</v>
          </cell>
          <cell r="N27">
            <v>55.37</v>
          </cell>
          <cell r="O27">
            <v>1.38425</v>
          </cell>
        </row>
        <row r="28">
          <cell r="B28" t="str">
            <v>Ravikamatham</v>
          </cell>
          <cell r="C28">
            <v>1</v>
          </cell>
          <cell r="D28">
            <v>1</v>
          </cell>
          <cell r="E28">
            <v>0</v>
          </cell>
          <cell r="F28">
            <v>0</v>
          </cell>
          <cell r="G28">
            <v>0</v>
          </cell>
          <cell r="H28">
            <v>9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10</v>
          </cell>
          <cell r="N28">
            <v>100</v>
          </cell>
          <cell r="O28">
            <v>2.5</v>
          </cell>
        </row>
        <row r="29">
          <cell r="B29" t="str">
            <v>Rolugunta</v>
          </cell>
          <cell r="C29">
            <v>1</v>
          </cell>
          <cell r="D29">
            <v>1</v>
          </cell>
          <cell r="E29">
            <v>0</v>
          </cell>
          <cell r="F29">
            <v>0</v>
          </cell>
          <cell r="G29">
            <v>1</v>
          </cell>
          <cell r="H29">
            <v>3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5</v>
          </cell>
          <cell r="N29">
            <v>61.52</v>
          </cell>
          <cell r="O29">
            <v>1.5380000000000003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0</v>
          </cell>
          <cell r="F30">
            <v>0</v>
          </cell>
          <cell r="G30">
            <v>7</v>
          </cell>
          <cell r="H30">
            <v>2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5.5</v>
          </cell>
          <cell r="N30">
            <v>67.67</v>
          </cell>
          <cell r="O30">
            <v>1.6917500000000001</v>
          </cell>
        </row>
        <row r="31">
          <cell r="B31" t="str">
            <v>Sabbavaram</v>
          </cell>
          <cell r="C31">
            <v>3</v>
          </cell>
          <cell r="D31">
            <v>3</v>
          </cell>
          <cell r="E31">
            <v>0</v>
          </cell>
          <cell r="F31">
            <v>0</v>
          </cell>
          <cell r="G31">
            <v>9</v>
          </cell>
          <cell r="H31">
            <v>8</v>
          </cell>
          <cell r="I31">
            <v>0</v>
          </cell>
          <cell r="J31">
            <v>0</v>
          </cell>
          <cell r="K31">
            <v>0</v>
          </cell>
          <cell r="L31">
            <v>1</v>
          </cell>
          <cell r="M31">
            <v>7</v>
          </cell>
          <cell r="N31">
            <v>86.13</v>
          </cell>
          <cell r="O31">
            <v>2.1532499999999999</v>
          </cell>
        </row>
        <row r="32">
          <cell r="B32" t="str">
            <v>V.Madugula</v>
          </cell>
          <cell r="C32">
            <v>4</v>
          </cell>
          <cell r="D32">
            <v>3</v>
          </cell>
          <cell r="E32">
            <v>0</v>
          </cell>
          <cell r="F32">
            <v>0</v>
          </cell>
          <cell r="G32">
            <v>3</v>
          </cell>
          <cell r="H32">
            <v>36</v>
          </cell>
          <cell r="I32">
            <v>0</v>
          </cell>
          <cell r="J32">
            <v>0</v>
          </cell>
          <cell r="K32">
            <v>0</v>
          </cell>
          <cell r="L32">
            <v>4</v>
          </cell>
          <cell r="M32">
            <v>11.5</v>
          </cell>
          <cell r="N32">
            <v>100</v>
          </cell>
          <cell r="O32">
            <v>2.5</v>
          </cell>
        </row>
        <row r="33">
          <cell r="B33" t="str">
            <v>Yelamanchili Rural</v>
          </cell>
          <cell r="C33">
            <v>4</v>
          </cell>
          <cell r="D33">
            <v>4</v>
          </cell>
          <cell r="E33">
            <v>0</v>
          </cell>
          <cell r="F33">
            <v>0</v>
          </cell>
          <cell r="G33">
            <v>20</v>
          </cell>
          <cell r="H33">
            <v>22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11.5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2</v>
          </cell>
          <cell r="D34">
            <v>2</v>
          </cell>
          <cell r="E34">
            <v>0</v>
          </cell>
          <cell r="F34">
            <v>0</v>
          </cell>
          <cell r="G34">
            <v>6</v>
          </cell>
          <cell r="H34">
            <v>9</v>
          </cell>
          <cell r="I34">
            <v>0</v>
          </cell>
          <cell r="J34">
            <v>0</v>
          </cell>
          <cell r="K34">
            <v>0</v>
          </cell>
          <cell r="L34">
            <v>1</v>
          </cell>
          <cell r="M34">
            <v>9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50</v>
          </cell>
          <cell r="O35">
            <v>1.25</v>
          </cell>
        </row>
        <row r="36">
          <cell r="C36">
            <v>102</v>
          </cell>
          <cell r="D36">
            <v>99</v>
          </cell>
          <cell r="E36">
            <v>6</v>
          </cell>
          <cell r="F36">
            <v>10</v>
          </cell>
          <cell r="G36">
            <v>400</v>
          </cell>
          <cell r="H36">
            <v>273</v>
          </cell>
          <cell r="I36">
            <v>0</v>
          </cell>
          <cell r="J36">
            <v>1</v>
          </cell>
          <cell r="K36">
            <v>0</v>
          </cell>
          <cell r="L36">
            <v>40</v>
          </cell>
          <cell r="M36">
            <v>8.1274509803921564</v>
          </cell>
          <cell r="N36">
            <v>83.183030303030321</v>
          </cell>
          <cell r="O36">
            <v>2.0795757575757583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37</v>
          </cell>
          <cell r="D4">
            <v>37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73</v>
          </cell>
          <cell r="D5">
            <v>73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20</v>
          </cell>
          <cell r="D7">
            <v>20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7</v>
          </cell>
          <cell r="D8">
            <v>7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6</v>
          </cell>
          <cell r="D16">
            <v>6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5</v>
          </cell>
          <cell r="D18">
            <v>5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15</v>
          </cell>
          <cell r="D23">
            <v>15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12</v>
          </cell>
          <cell r="D26">
            <v>12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20</v>
          </cell>
          <cell r="D30">
            <v>20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20</v>
          </cell>
          <cell r="D34">
            <v>20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462</v>
          </cell>
          <cell r="D36">
            <v>462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212</v>
          </cell>
          <cell r="D4">
            <v>424</v>
          </cell>
          <cell r="E4">
            <v>239</v>
          </cell>
          <cell r="F4">
            <v>-27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555</v>
          </cell>
          <cell r="D5">
            <v>496</v>
          </cell>
          <cell r="E5">
            <v>237</v>
          </cell>
          <cell r="F5">
            <v>318</v>
          </cell>
          <cell r="G5">
            <v>42.702702702702702</v>
          </cell>
          <cell r="H5">
            <v>2.1351351351351351</v>
          </cell>
        </row>
        <row r="6">
          <cell r="B6" t="str">
            <v>Anakapalli Town</v>
          </cell>
          <cell r="C6">
            <v>717</v>
          </cell>
          <cell r="D6">
            <v>539</v>
          </cell>
          <cell r="E6">
            <v>291</v>
          </cell>
          <cell r="F6">
            <v>426</v>
          </cell>
          <cell r="G6">
            <v>40.585774058577407</v>
          </cell>
          <cell r="H6">
            <v>2.0292887029288704</v>
          </cell>
        </row>
        <row r="7">
          <cell r="B7" t="str">
            <v>Anakapalli Traffic</v>
          </cell>
          <cell r="C7">
            <v>232</v>
          </cell>
          <cell r="D7">
            <v>355</v>
          </cell>
          <cell r="E7">
            <v>142</v>
          </cell>
          <cell r="F7">
            <v>90</v>
          </cell>
          <cell r="G7">
            <v>61.206896551724135</v>
          </cell>
          <cell r="H7">
            <v>3.0603448275862069</v>
          </cell>
        </row>
        <row r="8">
          <cell r="B8" t="str">
            <v>Atchutapuram</v>
          </cell>
          <cell r="C8">
            <v>588</v>
          </cell>
          <cell r="D8">
            <v>400</v>
          </cell>
          <cell r="E8">
            <v>339</v>
          </cell>
          <cell r="F8">
            <v>249</v>
          </cell>
          <cell r="G8">
            <v>57.653061224489797</v>
          </cell>
          <cell r="H8">
            <v>2.8826530612244898</v>
          </cell>
        </row>
        <row r="9">
          <cell r="B9" t="str">
            <v>Butchiyyapeta</v>
          </cell>
          <cell r="C9">
            <v>349</v>
          </cell>
          <cell r="D9">
            <v>370</v>
          </cell>
          <cell r="E9">
            <v>337</v>
          </cell>
          <cell r="F9">
            <v>12</v>
          </cell>
          <cell r="G9">
            <v>96.561604584527217</v>
          </cell>
          <cell r="H9">
            <v>4.8280802292263614</v>
          </cell>
        </row>
        <row r="10">
          <cell r="B10" t="str">
            <v>Cheedikada</v>
          </cell>
          <cell r="C10">
            <v>222</v>
          </cell>
          <cell r="D10">
            <v>265</v>
          </cell>
          <cell r="E10">
            <v>216</v>
          </cell>
          <cell r="F10">
            <v>6</v>
          </cell>
          <cell r="G10">
            <v>97.297297297297291</v>
          </cell>
          <cell r="H10">
            <v>4.8648648648648649</v>
          </cell>
        </row>
        <row r="11">
          <cell r="B11" t="str">
            <v>Chodavaram</v>
          </cell>
          <cell r="C11">
            <v>663</v>
          </cell>
          <cell r="D11">
            <v>618</v>
          </cell>
          <cell r="E11">
            <v>469</v>
          </cell>
          <cell r="F11">
            <v>194</v>
          </cell>
          <cell r="G11">
            <v>70.73906485671192</v>
          </cell>
          <cell r="H11">
            <v>3.5369532428355961</v>
          </cell>
        </row>
        <row r="12">
          <cell r="B12" t="str">
            <v>Devarapalli</v>
          </cell>
          <cell r="C12">
            <v>359</v>
          </cell>
          <cell r="D12">
            <v>363</v>
          </cell>
          <cell r="E12">
            <v>303</v>
          </cell>
          <cell r="F12">
            <v>56</v>
          </cell>
          <cell r="G12">
            <v>84.401114206128128</v>
          </cell>
          <cell r="H12">
            <v>4.2200557103064069</v>
          </cell>
        </row>
        <row r="13">
          <cell r="B13" t="str">
            <v>Golugonda</v>
          </cell>
          <cell r="C13">
            <v>263</v>
          </cell>
          <cell r="D13">
            <v>198</v>
          </cell>
          <cell r="E13">
            <v>164</v>
          </cell>
          <cell r="F13">
            <v>99</v>
          </cell>
          <cell r="G13">
            <v>62.357414448669203</v>
          </cell>
          <cell r="H13">
            <v>3.1178707224334605</v>
          </cell>
        </row>
        <row r="14">
          <cell r="B14" t="str">
            <v>K.D.Peta</v>
          </cell>
          <cell r="C14">
            <v>180</v>
          </cell>
          <cell r="D14">
            <v>173</v>
          </cell>
          <cell r="E14">
            <v>160</v>
          </cell>
          <cell r="F14">
            <v>20</v>
          </cell>
          <cell r="G14">
            <v>88.888888888888886</v>
          </cell>
          <cell r="H14">
            <v>4.4444444444444446</v>
          </cell>
        </row>
        <row r="15">
          <cell r="B15" t="str">
            <v>K.Kotapadu</v>
          </cell>
          <cell r="C15">
            <v>236</v>
          </cell>
          <cell r="D15">
            <v>255</v>
          </cell>
          <cell r="E15">
            <v>172</v>
          </cell>
          <cell r="F15">
            <v>64</v>
          </cell>
          <cell r="G15">
            <v>72.881355932203391</v>
          </cell>
          <cell r="H15">
            <v>3.6440677966101696</v>
          </cell>
        </row>
        <row r="16">
          <cell r="B16" t="str">
            <v>Kasimkota</v>
          </cell>
          <cell r="C16">
            <v>662</v>
          </cell>
          <cell r="D16">
            <v>500</v>
          </cell>
          <cell r="E16">
            <v>406</v>
          </cell>
          <cell r="F16">
            <v>256</v>
          </cell>
          <cell r="G16">
            <v>61.329305135951664</v>
          </cell>
          <cell r="H16">
            <v>3.0664652567975832</v>
          </cell>
        </row>
        <row r="17">
          <cell r="B17" t="str">
            <v>Kotavurtla</v>
          </cell>
          <cell r="C17">
            <v>304</v>
          </cell>
          <cell r="D17">
            <v>347</v>
          </cell>
          <cell r="E17">
            <v>302</v>
          </cell>
          <cell r="F17">
            <v>2</v>
          </cell>
          <cell r="G17">
            <v>99.34210526315789</v>
          </cell>
          <cell r="H17">
            <v>4.9671052631578947</v>
          </cell>
        </row>
        <row r="18">
          <cell r="B18" t="str">
            <v>Kothakota</v>
          </cell>
          <cell r="C18">
            <v>193</v>
          </cell>
          <cell r="D18">
            <v>127</v>
          </cell>
          <cell r="E18">
            <v>101</v>
          </cell>
          <cell r="F18">
            <v>92</v>
          </cell>
          <cell r="G18">
            <v>52.331606217616581</v>
          </cell>
          <cell r="H18">
            <v>2.6165803108808294</v>
          </cell>
        </row>
        <row r="19">
          <cell r="B19" t="str">
            <v>Mahila UPS, Anakapalli</v>
          </cell>
          <cell r="C19">
            <v>142</v>
          </cell>
          <cell r="D19">
            <v>177</v>
          </cell>
          <cell r="E19">
            <v>48</v>
          </cell>
          <cell r="F19">
            <v>94</v>
          </cell>
          <cell r="G19">
            <v>33.802816901408448</v>
          </cell>
          <cell r="H19">
            <v>1.6901408450704225</v>
          </cell>
        </row>
        <row r="20">
          <cell r="B20" t="str">
            <v>Makavarapalem</v>
          </cell>
          <cell r="C20">
            <v>391</v>
          </cell>
          <cell r="D20">
            <v>400</v>
          </cell>
          <cell r="E20">
            <v>297</v>
          </cell>
          <cell r="F20">
            <v>94</v>
          </cell>
          <cell r="G20">
            <v>75.959079283887462</v>
          </cell>
          <cell r="H20">
            <v>3.7979539641943734</v>
          </cell>
        </row>
        <row r="21">
          <cell r="B21" t="str">
            <v>Munagapaka</v>
          </cell>
          <cell r="C21">
            <v>436</v>
          </cell>
          <cell r="D21">
            <v>392</v>
          </cell>
          <cell r="E21">
            <v>224</v>
          </cell>
          <cell r="F21">
            <v>212</v>
          </cell>
          <cell r="G21">
            <v>51.376146788990823</v>
          </cell>
          <cell r="H21">
            <v>2.5688073394495414</v>
          </cell>
        </row>
        <row r="22">
          <cell r="B22" t="str">
            <v>Nakkapalli</v>
          </cell>
          <cell r="C22">
            <v>557</v>
          </cell>
          <cell r="D22">
            <v>748</v>
          </cell>
          <cell r="E22">
            <v>547</v>
          </cell>
          <cell r="F22">
            <v>10</v>
          </cell>
          <cell r="G22">
            <v>98.204667863554761</v>
          </cell>
          <cell r="H22">
            <v>4.9102333931777382</v>
          </cell>
        </row>
        <row r="23">
          <cell r="B23" t="str">
            <v>Narsipatnam Rural</v>
          </cell>
          <cell r="C23">
            <v>225</v>
          </cell>
          <cell r="D23">
            <v>187</v>
          </cell>
          <cell r="E23">
            <v>163</v>
          </cell>
          <cell r="F23">
            <v>62</v>
          </cell>
          <cell r="G23">
            <v>72.444444444444443</v>
          </cell>
          <cell r="H23">
            <v>3.6222222222222222</v>
          </cell>
        </row>
        <row r="24">
          <cell r="B24" t="str">
            <v>Narsipatnam Town</v>
          </cell>
          <cell r="C24">
            <v>507</v>
          </cell>
          <cell r="D24">
            <v>276</v>
          </cell>
          <cell r="E24">
            <v>200</v>
          </cell>
          <cell r="F24">
            <v>307</v>
          </cell>
          <cell r="G24">
            <v>39.447731755424066</v>
          </cell>
          <cell r="H24">
            <v>1.9723865877712035</v>
          </cell>
        </row>
        <row r="25">
          <cell r="B25" t="str">
            <v>Nathavaram</v>
          </cell>
          <cell r="C25">
            <v>314</v>
          </cell>
          <cell r="D25">
            <v>206</v>
          </cell>
          <cell r="E25">
            <v>142</v>
          </cell>
          <cell r="F25">
            <v>172</v>
          </cell>
          <cell r="G25">
            <v>45.222929936305732</v>
          </cell>
          <cell r="H25">
            <v>2.2611464968152868</v>
          </cell>
        </row>
        <row r="26">
          <cell r="B26" t="str">
            <v>Parawada</v>
          </cell>
          <cell r="C26">
            <v>812</v>
          </cell>
          <cell r="D26">
            <v>502</v>
          </cell>
          <cell r="E26">
            <v>316</v>
          </cell>
          <cell r="F26">
            <v>496</v>
          </cell>
          <cell r="G26">
            <v>38.916256157635466</v>
          </cell>
          <cell r="H26">
            <v>1.9458128078817734</v>
          </cell>
        </row>
        <row r="27">
          <cell r="B27" t="str">
            <v>Payakaraopeta</v>
          </cell>
          <cell r="C27">
            <v>773</v>
          </cell>
          <cell r="D27">
            <v>711</v>
          </cell>
          <cell r="E27">
            <v>609</v>
          </cell>
          <cell r="F27">
            <v>164</v>
          </cell>
          <cell r="G27">
            <v>78.783958602846056</v>
          </cell>
          <cell r="H27">
            <v>3.9391979301423028</v>
          </cell>
        </row>
        <row r="28">
          <cell r="B28" t="str">
            <v>Rambilli</v>
          </cell>
          <cell r="C28">
            <v>409</v>
          </cell>
          <cell r="D28">
            <v>310</v>
          </cell>
          <cell r="E28">
            <v>228</v>
          </cell>
          <cell r="F28">
            <v>181</v>
          </cell>
          <cell r="G28">
            <v>55.745721271393641</v>
          </cell>
          <cell r="H28">
            <v>2.7872860635696823</v>
          </cell>
        </row>
        <row r="29">
          <cell r="B29" t="str">
            <v>Ravikamatham</v>
          </cell>
          <cell r="C29">
            <v>219</v>
          </cell>
          <cell r="D29">
            <v>243</v>
          </cell>
          <cell r="E29">
            <v>203</v>
          </cell>
          <cell r="F29">
            <v>16</v>
          </cell>
          <cell r="G29">
            <v>92.694063926940643</v>
          </cell>
          <cell r="H29">
            <v>4.634703196347032</v>
          </cell>
        </row>
        <row r="30">
          <cell r="B30" t="str">
            <v>Rolugunta</v>
          </cell>
          <cell r="C30">
            <v>234</v>
          </cell>
          <cell r="D30">
            <v>263</v>
          </cell>
          <cell r="E30">
            <v>158</v>
          </cell>
          <cell r="F30">
            <v>76</v>
          </cell>
          <cell r="G30">
            <v>67.521367521367523</v>
          </cell>
          <cell r="H30">
            <v>3.3760683760683765</v>
          </cell>
        </row>
        <row r="31">
          <cell r="B31" t="str">
            <v>S.Rayavaram</v>
          </cell>
          <cell r="C31">
            <v>472</v>
          </cell>
          <cell r="D31">
            <v>534</v>
          </cell>
          <cell r="E31">
            <v>417</v>
          </cell>
          <cell r="F31">
            <v>55</v>
          </cell>
          <cell r="G31">
            <v>88.347457627118644</v>
          </cell>
          <cell r="H31">
            <v>4.4173728813559325</v>
          </cell>
        </row>
        <row r="32">
          <cell r="B32" t="str">
            <v>Sabbavaram</v>
          </cell>
          <cell r="C32">
            <v>537</v>
          </cell>
          <cell r="D32">
            <v>312</v>
          </cell>
          <cell r="E32">
            <v>253</v>
          </cell>
          <cell r="F32">
            <v>284</v>
          </cell>
          <cell r="G32">
            <v>47.113594040968344</v>
          </cell>
          <cell r="H32">
            <v>2.3556797020484175</v>
          </cell>
        </row>
        <row r="33">
          <cell r="B33" t="str">
            <v>V.Madugula</v>
          </cell>
          <cell r="C33">
            <v>329</v>
          </cell>
          <cell r="D33">
            <v>594</v>
          </cell>
          <cell r="E33">
            <v>302</v>
          </cell>
          <cell r="F33">
            <v>27</v>
          </cell>
          <cell r="G33">
            <v>91.79331306990882</v>
          </cell>
          <cell r="H33">
            <v>4.589665653495441</v>
          </cell>
        </row>
        <row r="34">
          <cell r="B34" t="str">
            <v>Yelamanchili Rural</v>
          </cell>
          <cell r="C34">
            <v>347</v>
          </cell>
          <cell r="D34">
            <v>346</v>
          </cell>
          <cell r="E34">
            <v>321</v>
          </cell>
          <cell r="F34">
            <v>26</v>
          </cell>
          <cell r="G34">
            <v>92.507204610951007</v>
          </cell>
          <cell r="H34">
            <v>4.6253602305475505</v>
          </cell>
        </row>
        <row r="35">
          <cell r="B35" t="str">
            <v>Yelamanchili Town</v>
          </cell>
          <cell r="C35">
            <v>259</v>
          </cell>
          <cell r="D35">
            <v>308</v>
          </cell>
          <cell r="E35">
            <v>209</v>
          </cell>
          <cell r="F35">
            <v>50</v>
          </cell>
          <cell r="G35">
            <v>80.6949806949807</v>
          </cell>
          <cell r="H35">
            <v>4.0347490347490353</v>
          </cell>
        </row>
        <row r="36">
          <cell r="B36" t="str">
            <v>Yelamanchili Traffic</v>
          </cell>
          <cell r="C36">
            <v>46</v>
          </cell>
          <cell r="D36">
            <v>48</v>
          </cell>
          <cell r="E36">
            <v>38</v>
          </cell>
          <cell r="F36">
            <v>8</v>
          </cell>
          <cell r="G36">
            <v>82.608695652173907</v>
          </cell>
          <cell r="H36">
            <v>4.1304347826086953</v>
          </cell>
        </row>
        <row r="37">
          <cell r="C37">
            <v>12744</v>
          </cell>
          <cell r="D37">
            <v>11987</v>
          </cell>
          <cell r="E37">
            <v>8553</v>
          </cell>
          <cell r="F37">
            <v>4191</v>
          </cell>
          <cell r="G37">
            <v>70.347352167240786</v>
          </cell>
          <cell r="H37">
            <v>3.5173676083620409</v>
          </cell>
        </row>
      </sheetData>
      <sheetData sheetId="10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H3">
            <v>0</v>
          </cell>
          <cell r="I3">
            <v>0</v>
          </cell>
          <cell r="J3" t="e">
            <v>#DIV/0!</v>
          </cell>
          <cell r="K3">
            <v>0</v>
          </cell>
          <cell r="L3">
            <v>0</v>
          </cell>
        </row>
        <row r="4">
          <cell r="B4" t="str">
            <v>Anakapalli Rural</v>
          </cell>
          <cell r="H4">
            <v>0</v>
          </cell>
          <cell r="I4">
            <v>0</v>
          </cell>
          <cell r="J4" t="e">
            <v>#DIV/0!</v>
          </cell>
          <cell r="K4">
            <v>0</v>
          </cell>
          <cell r="L4">
            <v>0</v>
          </cell>
        </row>
        <row r="5">
          <cell r="B5" t="str">
            <v>Anakapalli Town</v>
          </cell>
          <cell r="H5">
            <v>0</v>
          </cell>
          <cell r="I5">
            <v>0</v>
          </cell>
          <cell r="J5" t="e">
            <v>#DIV/0!</v>
          </cell>
          <cell r="K5">
            <v>0</v>
          </cell>
          <cell r="L5">
            <v>0</v>
          </cell>
        </row>
        <row r="6">
          <cell r="B6" t="str">
            <v>Anakapalli Traffic</v>
          </cell>
          <cell r="H6">
            <v>0</v>
          </cell>
          <cell r="I6">
            <v>0</v>
          </cell>
          <cell r="J6" t="e">
            <v>#DIV/0!</v>
          </cell>
          <cell r="K6">
            <v>0</v>
          </cell>
          <cell r="L6">
            <v>0</v>
          </cell>
        </row>
        <row r="7">
          <cell r="B7" t="str">
            <v>Atchutapuram</v>
          </cell>
          <cell r="H7">
            <v>0</v>
          </cell>
          <cell r="I7">
            <v>0</v>
          </cell>
          <cell r="J7" t="e">
            <v>#DIV/0!</v>
          </cell>
          <cell r="K7">
            <v>0</v>
          </cell>
          <cell r="L7">
            <v>0</v>
          </cell>
        </row>
        <row r="8">
          <cell r="B8" t="str">
            <v>Butchiyyapeta</v>
          </cell>
          <cell r="H8">
            <v>0</v>
          </cell>
          <cell r="I8">
            <v>0</v>
          </cell>
          <cell r="J8" t="e">
            <v>#DIV/0!</v>
          </cell>
          <cell r="K8">
            <v>0</v>
          </cell>
          <cell r="L8">
            <v>0</v>
          </cell>
        </row>
        <row r="9">
          <cell r="B9" t="str">
            <v>Cheedikada</v>
          </cell>
          <cell r="H9">
            <v>0</v>
          </cell>
          <cell r="I9">
            <v>0</v>
          </cell>
          <cell r="J9" t="e">
            <v>#DIV/0!</v>
          </cell>
          <cell r="K9">
            <v>0</v>
          </cell>
          <cell r="L9">
            <v>0</v>
          </cell>
        </row>
        <row r="10">
          <cell r="B10" t="str">
            <v>Chodavaram</v>
          </cell>
          <cell r="H10">
            <v>0</v>
          </cell>
          <cell r="I10">
            <v>0</v>
          </cell>
          <cell r="J10" t="e">
            <v>#DIV/0!</v>
          </cell>
          <cell r="K10">
            <v>0</v>
          </cell>
          <cell r="L10">
            <v>0</v>
          </cell>
        </row>
        <row r="11">
          <cell r="B11" t="str">
            <v>Devarapalli</v>
          </cell>
          <cell r="H11">
            <v>0</v>
          </cell>
          <cell r="I11">
            <v>0</v>
          </cell>
          <cell r="J11" t="e">
            <v>#DIV/0!</v>
          </cell>
          <cell r="K11">
            <v>0</v>
          </cell>
          <cell r="L11">
            <v>0</v>
          </cell>
        </row>
        <row r="12">
          <cell r="B12" t="str">
            <v>Golugonda</v>
          </cell>
          <cell r="H12">
            <v>0</v>
          </cell>
          <cell r="I12">
            <v>0</v>
          </cell>
          <cell r="J12" t="e">
            <v>#DIV/0!</v>
          </cell>
          <cell r="K12">
            <v>0</v>
          </cell>
          <cell r="L12">
            <v>0</v>
          </cell>
        </row>
        <row r="13">
          <cell r="B13" t="str">
            <v>K.D.Peta</v>
          </cell>
          <cell r="H13">
            <v>0</v>
          </cell>
          <cell r="I13">
            <v>0</v>
          </cell>
          <cell r="J13" t="e">
            <v>#DIV/0!</v>
          </cell>
          <cell r="K13">
            <v>0</v>
          </cell>
          <cell r="L13">
            <v>0</v>
          </cell>
        </row>
        <row r="14">
          <cell r="B14" t="str">
            <v>K.Kotapadu</v>
          </cell>
          <cell r="H14">
            <v>0</v>
          </cell>
          <cell r="I14">
            <v>0</v>
          </cell>
          <cell r="J14" t="e">
            <v>#DIV/0!</v>
          </cell>
          <cell r="K14">
            <v>0</v>
          </cell>
          <cell r="L14">
            <v>0</v>
          </cell>
        </row>
        <row r="15">
          <cell r="B15" t="str">
            <v>Kasimkota</v>
          </cell>
          <cell r="H15">
            <v>0</v>
          </cell>
          <cell r="I15">
            <v>0</v>
          </cell>
          <cell r="J15" t="e">
            <v>#DIV/0!</v>
          </cell>
          <cell r="K15">
            <v>0</v>
          </cell>
          <cell r="L15">
            <v>0</v>
          </cell>
        </row>
        <row r="16">
          <cell r="B16" t="str">
            <v>Kotavurtla</v>
          </cell>
          <cell r="H16">
            <v>0</v>
          </cell>
          <cell r="I16">
            <v>0</v>
          </cell>
          <cell r="J16" t="e">
            <v>#DIV/0!</v>
          </cell>
          <cell r="K16">
            <v>0</v>
          </cell>
          <cell r="L16">
            <v>0</v>
          </cell>
        </row>
        <row r="17">
          <cell r="B17" t="str">
            <v>Kothakota</v>
          </cell>
          <cell r="H17">
            <v>0</v>
          </cell>
          <cell r="I17">
            <v>0</v>
          </cell>
          <cell r="J17" t="e">
            <v>#DIV/0!</v>
          </cell>
          <cell r="K17">
            <v>0</v>
          </cell>
          <cell r="L17">
            <v>0</v>
          </cell>
        </row>
        <row r="18">
          <cell r="B18" t="str">
            <v>Mahila UPS, Anakapalli</v>
          </cell>
          <cell r="H18">
            <v>0</v>
          </cell>
          <cell r="I18">
            <v>0</v>
          </cell>
          <cell r="J18" t="e">
            <v>#DIV/0!</v>
          </cell>
          <cell r="K18">
            <v>0</v>
          </cell>
          <cell r="L18">
            <v>0</v>
          </cell>
        </row>
        <row r="19">
          <cell r="B19" t="str">
            <v>Makavarapalem</v>
          </cell>
          <cell r="H19">
            <v>0</v>
          </cell>
          <cell r="I19">
            <v>0</v>
          </cell>
          <cell r="J19" t="e">
            <v>#DIV/0!</v>
          </cell>
          <cell r="K19">
            <v>0</v>
          </cell>
          <cell r="L19">
            <v>0</v>
          </cell>
        </row>
        <row r="20">
          <cell r="B20" t="str">
            <v>Munagapaka</v>
          </cell>
          <cell r="H20">
            <v>0</v>
          </cell>
          <cell r="I20">
            <v>0</v>
          </cell>
          <cell r="J20" t="e">
            <v>#DIV/0!</v>
          </cell>
          <cell r="K20">
            <v>0</v>
          </cell>
          <cell r="L20">
            <v>0</v>
          </cell>
        </row>
        <row r="21">
          <cell r="B21" t="str">
            <v>Nakkapalli</v>
          </cell>
          <cell r="H21">
            <v>0</v>
          </cell>
          <cell r="I21">
            <v>0</v>
          </cell>
          <cell r="J21" t="e">
            <v>#DIV/0!</v>
          </cell>
          <cell r="K21">
            <v>0</v>
          </cell>
          <cell r="L21">
            <v>0</v>
          </cell>
        </row>
        <row r="22">
          <cell r="B22" t="str">
            <v>Narsipatnam Rural</v>
          </cell>
          <cell r="H22">
            <v>0</v>
          </cell>
          <cell r="I22">
            <v>0</v>
          </cell>
          <cell r="J22" t="e">
            <v>#DIV/0!</v>
          </cell>
          <cell r="K22">
            <v>0</v>
          </cell>
          <cell r="L22">
            <v>0</v>
          </cell>
        </row>
        <row r="23">
          <cell r="B23" t="str">
            <v>Narsipatnam Town</v>
          </cell>
          <cell r="H23">
            <v>0</v>
          </cell>
          <cell r="I23">
            <v>0</v>
          </cell>
          <cell r="J23" t="e">
            <v>#DIV/0!</v>
          </cell>
          <cell r="K23">
            <v>0</v>
          </cell>
          <cell r="L23">
            <v>0</v>
          </cell>
        </row>
        <row r="24">
          <cell r="B24" t="str">
            <v>Nathavaram</v>
          </cell>
          <cell r="H24">
            <v>0</v>
          </cell>
          <cell r="I24">
            <v>0</v>
          </cell>
          <cell r="J24" t="e">
            <v>#DIV/0!</v>
          </cell>
          <cell r="K24">
            <v>0</v>
          </cell>
          <cell r="L24">
            <v>0</v>
          </cell>
        </row>
        <row r="25">
          <cell r="B25" t="str">
            <v>Parawada</v>
          </cell>
          <cell r="H25">
            <v>0</v>
          </cell>
          <cell r="I25">
            <v>0</v>
          </cell>
          <cell r="J25" t="e">
            <v>#DIV/0!</v>
          </cell>
          <cell r="K25">
            <v>0</v>
          </cell>
          <cell r="L25">
            <v>0</v>
          </cell>
        </row>
        <row r="26">
          <cell r="B26" t="str">
            <v>Payakaraopeta</v>
          </cell>
          <cell r="H26">
            <v>0</v>
          </cell>
          <cell r="I26">
            <v>0</v>
          </cell>
          <cell r="J26" t="e">
            <v>#DIV/0!</v>
          </cell>
          <cell r="K26">
            <v>0</v>
          </cell>
          <cell r="L26">
            <v>0</v>
          </cell>
        </row>
        <row r="27">
          <cell r="B27" t="str">
            <v>Rambilli</v>
          </cell>
          <cell r="H27">
            <v>0</v>
          </cell>
          <cell r="I27">
            <v>0</v>
          </cell>
          <cell r="J27" t="e">
            <v>#DIV/0!</v>
          </cell>
          <cell r="K27">
            <v>0</v>
          </cell>
          <cell r="L27">
            <v>0</v>
          </cell>
        </row>
        <row r="28">
          <cell r="B28" t="str">
            <v>Ravikamatham</v>
          </cell>
          <cell r="H28">
            <v>0</v>
          </cell>
          <cell r="I28">
            <v>0</v>
          </cell>
          <cell r="J28" t="e">
            <v>#DIV/0!</v>
          </cell>
          <cell r="K28">
            <v>0</v>
          </cell>
          <cell r="L28">
            <v>0</v>
          </cell>
        </row>
        <row r="29">
          <cell r="B29" t="str">
            <v>Rolugunta</v>
          </cell>
          <cell r="H29">
            <v>0</v>
          </cell>
          <cell r="I29">
            <v>0</v>
          </cell>
          <cell r="J29" t="e">
            <v>#DIV/0!</v>
          </cell>
          <cell r="K29">
            <v>0</v>
          </cell>
          <cell r="L29">
            <v>0</v>
          </cell>
        </row>
        <row r="30">
          <cell r="B30" t="str">
            <v>S.Rayavaram</v>
          </cell>
          <cell r="H30">
            <v>0</v>
          </cell>
          <cell r="I30">
            <v>0</v>
          </cell>
          <cell r="J30" t="e">
            <v>#DIV/0!</v>
          </cell>
          <cell r="K30">
            <v>0</v>
          </cell>
          <cell r="L30">
            <v>0</v>
          </cell>
        </row>
        <row r="31">
          <cell r="B31" t="str">
            <v>Sabbavaram</v>
          </cell>
          <cell r="H31">
            <v>0</v>
          </cell>
          <cell r="I31">
            <v>0</v>
          </cell>
          <cell r="J31" t="e">
            <v>#DIV/0!</v>
          </cell>
          <cell r="K31">
            <v>0</v>
          </cell>
          <cell r="L31">
            <v>0</v>
          </cell>
        </row>
        <row r="32">
          <cell r="B32" t="str">
            <v>V.Madugula</v>
          </cell>
          <cell r="H32">
            <v>0</v>
          </cell>
          <cell r="I32">
            <v>0</v>
          </cell>
          <cell r="J32" t="e">
            <v>#DIV/0!</v>
          </cell>
          <cell r="K32">
            <v>0</v>
          </cell>
          <cell r="L32">
            <v>0</v>
          </cell>
        </row>
        <row r="33">
          <cell r="B33" t="str">
            <v>Yelamanchili Rural</v>
          </cell>
          <cell r="H33">
            <v>0</v>
          </cell>
          <cell r="I33">
            <v>0</v>
          </cell>
          <cell r="J33" t="e">
            <v>#DIV/0!</v>
          </cell>
          <cell r="K33">
            <v>0</v>
          </cell>
          <cell r="L33">
            <v>0</v>
          </cell>
        </row>
        <row r="34">
          <cell r="B34" t="str">
            <v>Yelamanchili Town</v>
          </cell>
          <cell r="H34">
            <v>0</v>
          </cell>
          <cell r="I34">
            <v>0</v>
          </cell>
          <cell r="J34" t="e">
            <v>#DIV/0!</v>
          </cell>
          <cell r="K34">
            <v>0</v>
          </cell>
          <cell r="L34">
            <v>0</v>
          </cell>
        </row>
        <row r="35">
          <cell r="B35" t="str">
            <v>Yelamanchili Traffic</v>
          </cell>
          <cell r="H35">
            <v>0</v>
          </cell>
          <cell r="I35">
            <v>0</v>
          </cell>
          <cell r="J35" t="e">
            <v>#DIV/0!</v>
          </cell>
          <cell r="K35">
            <v>0</v>
          </cell>
          <cell r="L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>
            <v>0</v>
          </cell>
          <cell r="L36">
            <v>0</v>
          </cell>
        </row>
      </sheetData>
      <sheetData sheetId="11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E4">
            <v>100</v>
          </cell>
          <cell r="F4">
            <v>5</v>
          </cell>
        </row>
        <row r="5">
          <cell r="B5" t="str">
            <v>Anakapalli Rural</v>
          </cell>
          <cell r="C5">
            <v>1</v>
          </cell>
          <cell r="D5">
            <v>1</v>
          </cell>
          <cell r="E5">
            <v>100</v>
          </cell>
          <cell r="F5">
            <v>5</v>
          </cell>
        </row>
        <row r="6">
          <cell r="B6" t="str">
            <v>Anakapalli Town</v>
          </cell>
          <cell r="C6">
            <v>1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Atchutapuram</v>
          </cell>
          <cell r="C8">
            <v>1</v>
          </cell>
          <cell r="D8">
            <v>1</v>
          </cell>
          <cell r="E8">
            <v>100</v>
          </cell>
          <cell r="F8">
            <v>5</v>
          </cell>
        </row>
        <row r="9">
          <cell r="B9" t="str">
            <v>Butchiyyapeta</v>
          </cell>
          <cell r="C9">
            <v>1</v>
          </cell>
          <cell r="D9">
            <v>1</v>
          </cell>
          <cell r="E9">
            <v>100</v>
          </cell>
          <cell r="F9">
            <v>5</v>
          </cell>
        </row>
        <row r="10">
          <cell r="B10" t="str">
            <v>Cheedikada</v>
          </cell>
          <cell r="C10">
            <v>1</v>
          </cell>
          <cell r="D10">
            <v>1</v>
          </cell>
          <cell r="E10">
            <v>100</v>
          </cell>
          <cell r="F10">
            <v>5</v>
          </cell>
        </row>
        <row r="11">
          <cell r="B11" t="str">
            <v>Chodavaram</v>
          </cell>
          <cell r="C11">
            <v>1</v>
          </cell>
          <cell r="D11">
            <v>1</v>
          </cell>
          <cell r="E11">
            <v>100</v>
          </cell>
          <cell r="F11">
            <v>5</v>
          </cell>
        </row>
        <row r="12">
          <cell r="B12" t="str">
            <v>Devarapalli</v>
          </cell>
          <cell r="E12">
            <v>100</v>
          </cell>
          <cell r="F12">
            <v>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100</v>
          </cell>
          <cell r="F13">
            <v>5</v>
          </cell>
        </row>
        <row r="14">
          <cell r="B14" t="str">
            <v>K.D.Peta</v>
          </cell>
          <cell r="C14">
            <v>1</v>
          </cell>
          <cell r="D14">
            <v>1</v>
          </cell>
          <cell r="E14">
            <v>100</v>
          </cell>
          <cell r="F14">
            <v>5</v>
          </cell>
        </row>
        <row r="15">
          <cell r="B15" t="str">
            <v>K.Kotapadu</v>
          </cell>
          <cell r="E15">
            <v>100</v>
          </cell>
          <cell r="F15">
            <v>5</v>
          </cell>
        </row>
        <row r="16">
          <cell r="B16" t="str">
            <v>Kasimkota</v>
          </cell>
          <cell r="C16">
            <v>2</v>
          </cell>
          <cell r="D16">
            <v>2</v>
          </cell>
          <cell r="E16">
            <v>100</v>
          </cell>
          <cell r="F16">
            <v>5</v>
          </cell>
        </row>
        <row r="17">
          <cell r="B17" t="str">
            <v>Kotavurtla</v>
          </cell>
          <cell r="C17">
            <v>2</v>
          </cell>
          <cell r="D17">
            <v>2</v>
          </cell>
          <cell r="E17">
            <v>100</v>
          </cell>
          <cell r="F17">
            <v>5</v>
          </cell>
        </row>
        <row r="18">
          <cell r="B18" t="str">
            <v>Kothakota</v>
          </cell>
          <cell r="E18">
            <v>100</v>
          </cell>
          <cell r="F18">
            <v>5</v>
          </cell>
        </row>
        <row r="19">
          <cell r="B19" t="str">
            <v>Mahila UPS, Anakapalli</v>
          </cell>
          <cell r="C19">
            <v>1</v>
          </cell>
          <cell r="D19">
            <v>1</v>
          </cell>
          <cell r="E19">
            <v>100</v>
          </cell>
          <cell r="F19">
            <v>5</v>
          </cell>
        </row>
        <row r="20">
          <cell r="B20" t="str">
            <v>Makavarapalem</v>
          </cell>
          <cell r="E20">
            <v>100</v>
          </cell>
          <cell r="F20">
            <v>5</v>
          </cell>
        </row>
        <row r="21">
          <cell r="B21" t="str">
            <v>Munagapaka</v>
          </cell>
          <cell r="C21">
            <v>3</v>
          </cell>
          <cell r="D21">
            <v>3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1</v>
          </cell>
          <cell r="E22">
            <v>0</v>
          </cell>
          <cell r="F22">
            <v>0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100</v>
          </cell>
          <cell r="F23">
            <v>5</v>
          </cell>
        </row>
        <row r="24">
          <cell r="B24" t="str">
            <v>Narsipatnam Town</v>
          </cell>
          <cell r="C24">
            <v>2</v>
          </cell>
          <cell r="D24">
            <v>1</v>
          </cell>
          <cell r="E24">
            <v>50</v>
          </cell>
          <cell r="F24">
            <v>2.5</v>
          </cell>
        </row>
        <row r="25">
          <cell r="B25" t="str">
            <v>Nathavaram</v>
          </cell>
          <cell r="E25">
            <v>100</v>
          </cell>
          <cell r="F25">
            <v>5</v>
          </cell>
        </row>
        <row r="26">
          <cell r="B26" t="str">
            <v>Parawada</v>
          </cell>
          <cell r="C26">
            <v>2</v>
          </cell>
          <cell r="E26">
            <v>0</v>
          </cell>
          <cell r="F26">
            <v>0</v>
          </cell>
        </row>
        <row r="27">
          <cell r="B27" t="str">
            <v>Payakaraopeta</v>
          </cell>
          <cell r="E27">
            <v>100</v>
          </cell>
          <cell r="F27">
            <v>5</v>
          </cell>
        </row>
        <row r="28">
          <cell r="B28" t="str">
            <v>Rambilli</v>
          </cell>
          <cell r="C28">
            <v>3</v>
          </cell>
          <cell r="E28">
            <v>0</v>
          </cell>
          <cell r="F28">
            <v>0</v>
          </cell>
        </row>
        <row r="29">
          <cell r="B29" t="str">
            <v>Ravikamatham</v>
          </cell>
          <cell r="E29">
            <v>100</v>
          </cell>
          <cell r="F29">
            <v>5</v>
          </cell>
        </row>
        <row r="30">
          <cell r="B30" t="str">
            <v>Rolugunta</v>
          </cell>
          <cell r="C30">
            <v>1</v>
          </cell>
          <cell r="D30">
            <v>1</v>
          </cell>
          <cell r="E30">
            <v>100</v>
          </cell>
          <cell r="F30">
            <v>5</v>
          </cell>
        </row>
        <row r="31">
          <cell r="B31" t="str">
            <v>S.Rayavaram</v>
          </cell>
          <cell r="C31">
            <v>2</v>
          </cell>
          <cell r="D31">
            <v>2</v>
          </cell>
          <cell r="E31">
            <v>100</v>
          </cell>
          <cell r="F31">
            <v>5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100</v>
          </cell>
          <cell r="F32">
            <v>5</v>
          </cell>
        </row>
        <row r="33">
          <cell r="B33" t="str">
            <v>V.Madugula</v>
          </cell>
          <cell r="C33">
            <v>2</v>
          </cell>
          <cell r="D33">
            <v>2</v>
          </cell>
          <cell r="E33">
            <v>100</v>
          </cell>
          <cell r="F33">
            <v>5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100</v>
          </cell>
          <cell r="F35">
            <v>5</v>
          </cell>
        </row>
        <row r="36">
          <cell r="B36" t="str">
            <v>Yelamanchili Traffic</v>
          </cell>
          <cell r="E36">
            <v>100</v>
          </cell>
          <cell r="F36">
            <v>5</v>
          </cell>
        </row>
      </sheetData>
      <sheetData sheetId="12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107</v>
          </cell>
          <cell r="D3">
            <v>95</v>
          </cell>
          <cell r="E3">
            <v>88.785046728971963</v>
          </cell>
          <cell r="F3">
            <v>2.2196261682242993</v>
          </cell>
          <cell r="G3">
            <v>94</v>
          </cell>
          <cell r="H3">
            <v>62</v>
          </cell>
          <cell r="I3">
            <v>65.957446808510639</v>
          </cell>
          <cell r="J3">
            <v>1.6489361702127661</v>
          </cell>
          <cell r="K3">
            <v>3.8685623384370653</v>
          </cell>
          <cell r="L3">
            <v>77.371246768741301</v>
          </cell>
        </row>
        <row r="4">
          <cell r="B4" t="str">
            <v>Anakapalli Rural</v>
          </cell>
          <cell r="C4">
            <v>316</v>
          </cell>
          <cell r="D4">
            <v>158</v>
          </cell>
          <cell r="E4">
            <v>50</v>
          </cell>
          <cell r="F4">
            <v>1.25</v>
          </cell>
          <cell r="G4">
            <v>221</v>
          </cell>
          <cell r="H4">
            <v>209</v>
          </cell>
          <cell r="I4">
            <v>94.57013574660634</v>
          </cell>
          <cell r="J4">
            <v>2.3642533936651584</v>
          </cell>
          <cell r="K4">
            <v>3.6142533936651584</v>
          </cell>
          <cell r="L4">
            <v>72.285067873303177</v>
          </cell>
        </row>
        <row r="5">
          <cell r="B5" t="str">
            <v>Anakapalli Town</v>
          </cell>
          <cell r="C5">
            <v>307</v>
          </cell>
          <cell r="D5">
            <v>151</v>
          </cell>
          <cell r="E5">
            <v>49.185667752442995</v>
          </cell>
          <cell r="F5">
            <v>1.229641693811075</v>
          </cell>
          <cell r="G5">
            <v>199</v>
          </cell>
          <cell r="H5">
            <v>176</v>
          </cell>
          <cell r="I5">
            <v>88.442211055276388</v>
          </cell>
          <cell r="J5">
            <v>2.2110552763819098</v>
          </cell>
          <cell r="K5">
            <v>3.4406969701929846</v>
          </cell>
          <cell r="L5">
            <v>68.813939403859692</v>
          </cell>
        </row>
        <row r="6">
          <cell r="B6" t="str">
            <v>Anakapalli Traffic</v>
          </cell>
          <cell r="C6">
            <v>232</v>
          </cell>
          <cell r="D6">
            <v>137</v>
          </cell>
          <cell r="E6">
            <v>59.051724137931032</v>
          </cell>
          <cell r="F6">
            <v>1.4762931034482758</v>
          </cell>
          <cell r="G6">
            <v>201</v>
          </cell>
          <cell r="H6">
            <v>185</v>
          </cell>
          <cell r="I6">
            <v>92.039800995024876</v>
          </cell>
          <cell r="J6">
            <v>2.3009950248756219</v>
          </cell>
          <cell r="K6">
            <v>3.7772881283238977</v>
          </cell>
          <cell r="L6">
            <v>75.545762566477947</v>
          </cell>
        </row>
        <row r="7">
          <cell r="B7" t="str">
            <v>Atchutapuram</v>
          </cell>
          <cell r="C7">
            <v>329</v>
          </cell>
          <cell r="D7">
            <v>266</v>
          </cell>
          <cell r="E7">
            <v>80.851063829787236</v>
          </cell>
          <cell r="F7">
            <v>2.021276595744681</v>
          </cell>
          <cell r="G7">
            <v>245</v>
          </cell>
          <cell r="H7">
            <v>201</v>
          </cell>
          <cell r="I7">
            <v>82.040816326530617</v>
          </cell>
          <cell r="J7">
            <v>2.0510204081632657</v>
          </cell>
          <cell r="K7">
            <v>4.0722970039079467</v>
          </cell>
          <cell r="L7">
            <v>81.445940078158927</v>
          </cell>
        </row>
        <row r="8">
          <cell r="B8" t="str">
            <v>Butchiyyapeta</v>
          </cell>
          <cell r="C8">
            <v>164</v>
          </cell>
          <cell r="D8">
            <v>130</v>
          </cell>
          <cell r="E8">
            <v>79.268292682926827</v>
          </cell>
          <cell r="F8">
            <v>1.9817073170731707</v>
          </cell>
          <cell r="G8">
            <v>134</v>
          </cell>
          <cell r="H8">
            <v>119</v>
          </cell>
          <cell r="I8">
            <v>88.805970149253724</v>
          </cell>
          <cell r="J8">
            <v>2.2201492537313432</v>
          </cell>
          <cell r="K8">
            <v>4.2018565708045141</v>
          </cell>
          <cell r="L8">
            <v>84.037131416090276</v>
          </cell>
        </row>
        <row r="9">
          <cell r="B9" t="str">
            <v>Cheedikada</v>
          </cell>
          <cell r="C9">
            <v>102</v>
          </cell>
          <cell r="D9">
            <v>81</v>
          </cell>
          <cell r="E9">
            <v>79.411764705882348</v>
          </cell>
          <cell r="F9">
            <v>1.9852941176470589</v>
          </cell>
          <cell r="G9">
            <v>79</v>
          </cell>
          <cell r="H9">
            <v>68</v>
          </cell>
          <cell r="I9">
            <v>86.075949367088612</v>
          </cell>
          <cell r="J9">
            <v>2.1518987341772156</v>
          </cell>
          <cell r="K9">
            <v>4.137192851824274</v>
          </cell>
          <cell r="L9">
            <v>82.74385703648548</v>
          </cell>
        </row>
        <row r="10">
          <cell r="B10" t="str">
            <v>Chodavaram</v>
          </cell>
          <cell r="C10">
            <v>375</v>
          </cell>
          <cell r="D10">
            <v>288</v>
          </cell>
          <cell r="E10">
            <v>76.8</v>
          </cell>
          <cell r="F10">
            <v>1.92</v>
          </cell>
          <cell r="G10">
            <v>248</v>
          </cell>
          <cell r="H10">
            <v>221</v>
          </cell>
          <cell r="I10">
            <v>89.112903225806448</v>
          </cell>
          <cell r="J10">
            <v>2.2278225806451615</v>
          </cell>
          <cell r="K10">
            <v>4.1478225806451618</v>
          </cell>
          <cell r="L10">
            <v>82.956451612903223</v>
          </cell>
        </row>
        <row r="11">
          <cell r="B11" t="str">
            <v>Devarapalli</v>
          </cell>
          <cell r="C11">
            <v>178</v>
          </cell>
          <cell r="D11">
            <v>133</v>
          </cell>
          <cell r="E11">
            <v>74.719101123595507</v>
          </cell>
          <cell r="F11">
            <v>1.8679775280898878</v>
          </cell>
          <cell r="G11">
            <v>148</v>
          </cell>
          <cell r="H11">
            <v>119</v>
          </cell>
          <cell r="I11">
            <v>80.405405405405403</v>
          </cell>
          <cell r="J11">
            <v>2.0101351351351351</v>
          </cell>
          <cell r="K11">
            <v>3.8781126632250231</v>
          </cell>
          <cell r="L11">
            <v>77.562253264500455</v>
          </cell>
        </row>
        <row r="12">
          <cell r="B12" t="str">
            <v>Golugonda</v>
          </cell>
          <cell r="C12">
            <v>135</v>
          </cell>
          <cell r="D12">
            <v>107</v>
          </cell>
          <cell r="E12">
            <v>79.259259259259252</v>
          </cell>
          <cell r="F12">
            <v>1.9814814814814814</v>
          </cell>
          <cell r="G12">
            <v>113</v>
          </cell>
          <cell r="H12">
            <v>85</v>
          </cell>
          <cell r="I12">
            <v>75.221238938053091</v>
          </cell>
          <cell r="J12">
            <v>1.8805309734513274</v>
          </cell>
          <cell r="K12">
            <v>3.8620124549328088</v>
          </cell>
          <cell r="L12">
            <v>77.240249098656165</v>
          </cell>
        </row>
        <row r="13">
          <cell r="B13" t="str">
            <v>K.D.Peta</v>
          </cell>
          <cell r="C13">
            <v>70</v>
          </cell>
          <cell r="D13">
            <v>58</v>
          </cell>
          <cell r="E13">
            <v>82.857142857142861</v>
          </cell>
          <cell r="F13">
            <v>2.0714285714285716</v>
          </cell>
          <cell r="G13">
            <v>59</v>
          </cell>
          <cell r="H13">
            <v>48</v>
          </cell>
          <cell r="I13">
            <v>81.355932203389827</v>
          </cell>
          <cell r="J13">
            <v>2.0338983050847457</v>
          </cell>
          <cell r="K13">
            <v>4.1053268765133168</v>
          </cell>
          <cell r="L13">
            <v>82.106537530266337</v>
          </cell>
        </row>
        <row r="14">
          <cell r="B14" t="str">
            <v>K.Kotapadu</v>
          </cell>
          <cell r="C14">
            <v>115</v>
          </cell>
          <cell r="D14">
            <v>92</v>
          </cell>
          <cell r="E14">
            <v>80</v>
          </cell>
          <cell r="F14">
            <v>2</v>
          </cell>
          <cell r="G14">
            <v>93</v>
          </cell>
          <cell r="H14">
            <v>70</v>
          </cell>
          <cell r="I14">
            <v>75.268817204301072</v>
          </cell>
          <cell r="J14">
            <v>1.881720430107527</v>
          </cell>
          <cell r="K14">
            <v>3.881720430107527</v>
          </cell>
          <cell r="L14">
            <v>77.634408602150529</v>
          </cell>
        </row>
        <row r="15">
          <cell r="B15" t="str">
            <v>Kasimkota</v>
          </cell>
          <cell r="C15">
            <v>386</v>
          </cell>
          <cell r="D15">
            <v>223</v>
          </cell>
          <cell r="E15">
            <v>57.7720207253886</v>
          </cell>
          <cell r="F15">
            <v>1.4443005181347151</v>
          </cell>
          <cell r="G15">
            <v>307</v>
          </cell>
          <cell r="H15">
            <v>248</v>
          </cell>
          <cell r="I15">
            <v>80.781758957654716</v>
          </cell>
          <cell r="J15">
            <v>2.0195439739413681</v>
          </cell>
          <cell r="K15">
            <v>3.4638444920760829</v>
          </cell>
          <cell r="L15">
            <v>69.276889841521665</v>
          </cell>
        </row>
        <row r="16">
          <cell r="B16" t="str">
            <v>Kotavurtla</v>
          </cell>
          <cell r="C16">
            <v>145</v>
          </cell>
          <cell r="D16">
            <v>95</v>
          </cell>
          <cell r="E16">
            <v>65.517241379310349</v>
          </cell>
          <cell r="F16">
            <v>1.6379310344827589</v>
          </cell>
          <cell r="G16">
            <v>99</v>
          </cell>
          <cell r="H16">
            <v>83</v>
          </cell>
          <cell r="I16">
            <v>83.838383838383834</v>
          </cell>
          <cell r="J16">
            <v>2.095959595959596</v>
          </cell>
          <cell r="K16">
            <v>3.7338906304423549</v>
          </cell>
          <cell r="L16">
            <v>74.677812608847091</v>
          </cell>
        </row>
        <row r="17">
          <cell r="B17" t="str">
            <v>Kothakota</v>
          </cell>
          <cell r="C17">
            <v>73</v>
          </cell>
          <cell r="D17">
            <v>57</v>
          </cell>
          <cell r="E17">
            <v>78.082191780821915</v>
          </cell>
          <cell r="F17">
            <v>1.952054794520548</v>
          </cell>
          <cell r="G17">
            <v>58</v>
          </cell>
          <cell r="H17">
            <v>44</v>
          </cell>
          <cell r="I17">
            <v>75.862068965517238</v>
          </cell>
          <cell r="J17">
            <v>1.896551724137931</v>
          </cell>
          <cell r="K17">
            <v>3.848606518658479</v>
          </cell>
          <cell r="L17">
            <v>76.972130373169577</v>
          </cell>
        </row>
        <row r="18">
          <cell r="B18" t="str">
            <v>Mahila UPS, Anakapalli</v>
          </cell>
          <cell r="C18">
            <v>139</v>
          </cell>
          <cell r="D18">
            <v>69</v>
          </cell>
          <cell r="E18">
            <v>49.640287769784173</v>
          </cell>
          <cell r="F18">
            <v>1.2410071942446044</v>
          </cell>
          <cell r="G18">
            <v>124</v>
          </cell>
          <cell r="H18">
            <v>124</v>
          </cell>
          <cell r="I18">
            <v>100</v>
          </cell>
          <cell r="J18">
            <v>2.5</v>
          </cell>
          <cell r="K18">
            <v>3.7410071942446042</v>
          </cell>
          <cell r="L18">
            <v>74.82014388489209</v>
          </cell>
        </row>
        <row r="19">
          <cell r="B19" t="str">
            <v>Makavarapalem</v>
          </cell>
          <cell r="C19">
            <v>185</v>
          </cell>
          <cell r="D19">
            <v>143</v>
          </cell>
          <cell r="E19">
            <v>77.297297297297291</v>
          </cell>
          <cell r="F19">
            <v>1.9324324324324325</v>
          </cell>
          <cell r="G19">
            <v>103</v>
          </cell>
          <cell r="H19">
            <v>96</v>
          </cell>
          <cell r="I19">
            <v>93.203883495145632</v>
          </cell>
          <cell r="J19">
            <v>2.3300970873786411</v>
          </cell>
          <cell r="K19">
            <v>4.2625295198110731</v>
          </cell>
          <cell r="L19">
            <v>85.250590396221469</v>
          </cell>
        </row>
        <row r="20">
          <cell r="B20" t="str">
            <v>Munagapaka</v>
          </cell>
          <cell r="C20">
            <v>221</v>
          </cell>
          <cell r="D20">
            <v>103</v>
          </cell>
          <cell r="E20">
            <v>46.606334841628957</v>
          </cell>
          <cell r="F20">
            <v>1.1651583710407241</v>
          </cell>
          <cell r="G20">
            <v>170</v>
          </cell>
          <cell r="H20">
            <v>155</v>
          </cell>
          <cell r="I20">
            <v>91.17647058823529</v>
          </cell>
          <cell r="J20">
            <v>2.2794117647058822</v>
          </cell>
          <cell r="K20">
            <v>3.4445701357466065</v>
          </cell>
          <cell r="L20">
            <v>68.891402714932127</v>
          </cell>
        </row>
        <row r="21">
          <cell r="B21" t="str">
            <v>Nakkapalli</v>
          </cell>
          <cell r="C21">
            <v>317</v>
          </cell>
          <cell r="D21">
            <v>252</v>
          </cell>
          <cell r="E21">
            <v>79.495268138801265</v>
          </cell>
          <cell r="F21">
            <v>1.9873817034700316</v>
          </cell>
          <cell r="G21">
            <v>211</v>
          </cell>
          <cell r="H21">
            <v>186</v>
          </cell>
          <cell r="I21">
            <v>88.151658767772517</v>
          </cell>
          <cell r="J21">
            <v>2.203791469194313</v>
          </cell>
          <cell r="K21">
            <v>4.1911731726643442</v>
          </cell>
          <cell r="L21">
            <v>83.823463453286891</v>
          </cell>
        </row>
        <row r="22">
          <cell r="B22" t="str">
            <v>Narsipatnam Rural</v>
          </cell>
          <cell r="C22">
            <v>96</v>
          </cell>
          <cell r="D22">
            <v>79</v>
          </cell>
          <cell r="E22">
            <v>82.291666666666671</v>
          </cell>
          <cell r="F22">
            <v>2.057291666666667</v>
          </cell>
          <cell r="G22">
            <v>75</v>
          </cell>
          <cell r="H22">
            <v>52</v>
          </cell>
          <cell r="I22">
            <v>69.333333333333329</v>
          </cell>
          <cell r="J22">
            <v>1.7333333333333334</v>
          </cell>
          <cell r="K22">
            <v>3.7906250000000004</v>
          </cell>
          <cell r="L22">
            <v>75.8125</v>
          </cell>
        </row>
        <row r="23">
          <cell r="B23" t="str">
            <v>Narsipatnam Town</v>
          </cell>
          <cell r="C23">
            <v>315</v>
          </cell>
          <cell r="D23">
            <v>255</v>
          </cell>
          <cell r="E23">
            <v>80.952380952380949</v>
          </cell>
          <cell r="F23">
            <v>2.0238095238095237</v>
          </cell>
          <cell r="G23">
            <v>208</v>
          </cell>
          <cell r="H23">
            <v>174</v>
          </cell>
          <cell r="I23">
            <v>83.65384615384616</v>
          </cell>
          <cell r="J23">
            <v>2.0913461538461542</v>
          </cell>
          <cell r="K23">
            <v>4.1151556776556779</v>
          </cell>
          <cell r="L23">
            <v>82.303113553113548</v>
          </cell>
        </row>
        <row r="24">
          <cell r="B24" t="str">
            <v>Nathavaram</v>
          </cell>
          <cell r="C24">
            <v>136</v>
          </cell>
          <cell r="D24">
            <v>112</v>
          </cell>
          <cell r="E24">
            <v>82.352941176470594</v>
          </cell>
          <cell r="F24">
            <v>2.0588235294117649</v>
          </cell>
          <cell r="G24">
            <v>96</v>
          </cell>
          <cell r="H24">
            <v>71</v>
          </cell>
          <cell r="I24">
            <v>73.958333333333329</v>
          </cell>
          <cell r="J24">
            <v>1.8489583333333333</v>
          </cell>
          <cell r="K24">
            <v>3.9077818627450984</v>
          </cell>
          <cell r="L24">
            <v>78.155637254901961</v>
          </cell>
        </row>
        <row r="25">
          <cell r="B25" t="str">
            <v>Parawada</v>
          </cell>
          <cell r="C25">
            <v>462</v>
          </cell>
          <cell r="D25">
            <v>207</v>
          </cell>
          <cell r="E25">
            <v>44.805194805194802</v>
          </cell>
          <cell r="F25">
            <v>1.1201298701298701</v>
          </cell>
          <cell r="G25">
            <v>313</v>
          </cell>
          <cell r="H25">
            <v>286</v>
          </cell>
          <cell r="I25">
            <v>91.373801916932905</v>
          </cell>
          <cell r="J25">
            <v>2.2843450479233227</v>
          </cell>
          <cell r="K25">
            <v>3.404474918053193</v>
          </cell>
          <cell r="L25">
            <v>68.089498361063846</v>
          </cell>
        </row>
        <row r="26">
          <cell r="B26" t="str">
            <v>Payakaraopeta</v>
          </cell>
          <cell r="C26">
            <v>473</v>
          </cell>
          <cell r="D26">
            <v>335</v>
          </cell>
          <cell r="E26">
            <v>70.824524312896401</v>
          </cell>
          <cell r="F26">
            <v>1.7706131078224101</v>
          </cell>
          <cell r="G26">
            <v>353</v>
          </cell>
          <cell r="H26">
            <v>268</v>
          </cell>
          <cell r="I26">
            <v>75.920679886685548</v>
          </cell>
          <cell r="J26">
            <v>1.8980169971671388</v>
          </cell>
          <cell r="K26">
            <v>3.6686301049895489</v>
          </cell>
          <cell r="L26">
            <v>73.372602099790981</v>
          </cell>
        </row>
        <row r="27">
          <cell r="B27" t="str">
            <v>Rambilli</v>
          </cell>
          <cell r="C27">
            <v>174</v>
          </cell>
          <cell r="D27">
            <v>128</v>
          </cell>
          <cell r="E27">
            <v>73.563218390804593</v>
          </cell>
          <cell r="F27">
            <v>1.8390804597701149</v>
          </cell>
          <cell r="G27">
            <v>129</v>
          </cell>
          <cell r="H27">
            <v>127</v>
          </cell>
          <cell r="I27">
            <v>98.449612403100772</v>
          </cell>
          <cell r="J27">
            <v>2.4612403100775193</v>
          </cell>
          <cell r="K27">
            <v>4.3003207698476338</v>
          </cell>
          <cell r="L27">
            <v>86.00641539695269</v>
          </cell>
        </row>
        <row r="28">
          <cell r="B28" t="str">
            <v>Ravikamatham</v>
          </cell>
          <cell r="C28">
            <v>75</v>
          </cell>
          <cell r="D28">
            <v>64</v>
          </cell>
          <cell r="E28">
            <v>85.333333333333329</v>
          </cell>
          <cell r="F28">
            <v>2.1333333333333333</v>
          </cell>
          <cell r="G28">
            <v>54</v>
          </cell>
          <cell r="H28">
            <v>43</v>
          </cell>
          <cell r="I28">
            <v>79.629629629629633</v>
          </cell>
          <cell r="J28">
            <v>1.9907407407407409</v>
          </cell>
          <cell r="K28">
            <v>4.1240740740740742</v>
          </cell>
          <cell r="L28">
            <v>82.481481481481481</v>
          </cell>
        </row>
        <row r="29">
          <cell r="B29" t="str">
            <v>Rolugunta</v>
          </cell>
          <cell r="C29">
            <v>81</v>
          </cell>
          <cell r="D29">
            <v>64</v>
          </cell>
          <cell r="E29">
            <v>79.012345679012341</v>
          </cell>
          <cell r="F29">
            <v>1.9753086419753085</v>
          </cell>
          <cell r="G29">
            <v>54</v>
          </cell>
          <cell r="H29">
            <v>48</v>
          </cell>
          <cell r="I29">
            <v>88.888888888888886</v>
          </cell>
          <cell r="J29">
            <v>2.2222222222222223</v>
          </cell>
          <cell r="K29">
            <v>4.1975308641975309</v>
          </cell>
          <cell r="L29">
            <v>83.950617283950606</v>
          </cell>
        </row>
        <row r="30">
          <cell r="B30" t="str">
            <v>S.Rayavaram</v>
          </cell>
          <cell r="C30">
            <v>248</v>
          </cell>
          <cell r="D30">
            <v>185</v>
          </cell>
          <cell r="E30">
            <v>74.596774193548384</v>
          </cell>
          <cell r="F30">
            <v>1.8649193548387097</v>
          </cell>
          <cell r="G30">
            <v>159</v>
          </cell>
          <cell r="H30">
            <v>145</v>
          </cell>
          <cell r="I30">
            <v>91.19496855345912</v>
          </cell>
          <cell r="J30">
            <v>2.2798742138364783</v>
          </cell>
          <cell r="K30">
            <v>4.1447935686751878</v>
          </cell>
          <cell r="L30">
            <v>82.895871373503752</v>
          </cell>
        </row>
        <row r="31">
          <cell r="B31" t="str">
            <v>Sabbavaram</v>
          </cell>
          <cell r="C31">
            <v>261</v>
          </cell>
          <cell r="D31">
            <v>137</v>
          </cell>
          <cell r="E31">
            <v>52.490421455938694</v>
          </cell>
          <cell r="F31">
            <v>1.3122605363984674</v>
          </cell>
          <cell r="G31">
            <v>187</v>
          </cell>
          <cell r="H31">
            <v>158</v>
          </cell>
          <cell r="I31">
            <v>84.491978609625662</v>
          </cell>
          <cell r="J31">
            <v>2.1122994652406417</v>
          </cell>
          <cell r="K31">
            <v>3.4245600016391089</v>
          </cell>
          <cell r="L31">
            <v>68.491200032782174</v>
          </cell>
        </row>
        <row r="32">
          <cell r="B32" t="str">
            <v>V.Madugula</v>
          </cell>
          <cell r="C32">
            <v>154</v>
          </cell>
          <cell r="D32">
            <v>126</v>
          </cell>
          <cell r="E32">
            <v>81.818181818181813</v>
          </cell>
          <cell r="F32">
            <v>2.0454545454545454</v>
          </cell>
          <cell r="G32">
            <v>126</v>
          </cell>
          <cell r="H32">
            <v>93</v>
          </cell>
          <cell r="I32">
            <v>73.80952380952381</v>
          </cell>
          <cell r="J32">
            <v>1.8452380952380953</v>
          </cell>
          <cell r="K32">
            <v>3.8906926406926408</v>
          </cell>
          <cell r="L32">
            <v>77.813852813852805</v>
          </cell>
        </row>
        <row r="33">
          <cell r="B33" t="str">
            <v>Yelamanchili Rural</v>
          </cell>
          <cell r="C33">
            <v>196</v>
          </cell>
          <cell r="D33">
            <v>154</v>
          </cell>
          <cell r="E33">
            <v>78.571428571428569</v>
          </cell>
          <cell r="F33">
            <v>1.9642857142857144</v>
          </cell>
          <cell r="G33">
            <v>156</v>
          </cell>
          <cell r="H33">
            <v>134</v>
          </cell>
          <cell r="I33">
            <v>85.897435897435898</v>
          </cell>
          <cell r="J33">
            <v>2.1474358974358974</v>
          </cell>
          <cell r="K33">
            <v>4.1117216117216113</v>
          </cell>
          <cell r="L33">
            <v>82.234432234432234</v>
          </cell>
        </row>
        <row r="34">
          <cell r="B34" t="str">
            <v>Yelamanchili Town</v>
          </cell>
          <cell r="C34">
            <v>136</v>
          </cell>
          <cell r="D34">
            <v>103</v>
          </cell>
          <cell r="E34">
            <v>75.735294117647058</v>
          </cell>
          <cell r="F34">
            <v>1.8933823529411766</v>
          </cell>
          <cell r="G34">
            <v>111</v>
          </cell>
          <cell r="H34">
            <v>87</v>
          </cell>
          <cell r="I34">
            <v>78.378378378378372</v>
          </cell>
          <cell r="J34">
            <v>1.9594594594594594</v>
          </cell>
          <cell r="K34">
            <v>3.8528418124006363</v>
          </cell>
          <cell r="L34">
            <v>77.056836248012715</v>
          </cell>
        </row>
        <row r="35">
          <cell r="B35" t="str">
            <v>Yelamanchili Traffic</v>
          </cell>
          <cell r="C35">
            <v>38</v>
          </cell>
          <cell r="D35">
            <v>38</v>
          </cell>
          <cell r="E35">
            <v>100</v>
          </cell>
          <cell r="F35">
            <v>2.5</v>
          </cell>
          <cell r="G35">
            <v>38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6741</v>
          </cell>
          <cell r="D36">
            <v>4625</v>
          </cell>
          <cell r="E36">
            <v>68.609998516540571</v>
          </cell>
          <cell r="F36">
            <v>1.4834594273846611</v>
          </cell>
          <cell r="G36">
            <v>4965</v>
          </cell>
          <cell r="H36">
            <v>4185</v>
          </cell>
          <cell r="I36">
            <v>84.290030211480357</v>
          </cell>
          <cell r="J36">
            <v>2.035826714266765</v>
          </cell>
          <cell r="K36">
            <v>3.5192861416514258</v>
          </cell>
          <cell r="L36">
            <v>76.450014364010457</v>
          </cell>
        </row>
      </sheetData>
      <sheetData sheetId="13">
        <row r="2">
          <cell r="C2" t="str">
            <v>FROM  01-10-2026 TO 07-10-2026 -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B5" t="str">
            <v>Anakapalli Rural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Anakapalli Town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Anakapalli Traffic</v>
          </cell>
          <cell r="D7">
            <v>0</v>
          </cell>
          <cell r="E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Atchutapuram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Butchiyyapeta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Cheedikada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Chodavaram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Devarapalli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Golugonda</v>
          </cell>
          <cell r="D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K.D.Peta</v>
          </cell>
          <cell r="D14">
            <v>0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K.Kotapadu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Kasimkota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Kotavurtla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Kothakota</v>
          </cell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Mahila UPS, Anakapalli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Makavarapalem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Munagapaka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Nakkapalli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Narsipatnam Rural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Narsipatnam Town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Nathavaram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Parawada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Payakaraopeta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Rambilli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Ravikamatham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Rolugunta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S.Rayavaram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Sabbavaram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V.Madugula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Yelamanchili Rural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Yelamanchili Town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Yelamanchili Traffic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14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5</v>
          </cell>
          <cell r="G3">
            <v>11</v>
          </cell>
          <cell r="H3">
            <v>100</v>
          </cell>
          <cell r="I3">
            <v>5</v>
          </cell>
          <cell r="J3">
            <v>10</v>
          </cell>
          <cell r="K3">
            <v>100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5</v>
          </cell>
          <cell r="G4">
            <v>15</v>
          </cell>
          <cell r="H4">
            <v>88.235294117647058</v>
          </cell>
          <cell r="I4">
            <v>4.4117647058823533</v>
          </cell>
          <cell r="J4">
            <v>9.4117647058823533</v>
          </cell>
          <cell r="K4">
            <v>94.117647058823536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98.333333333333329</v>
          </cell>
          <cell r="F5">
            <v>4.916666666666667</v>
          </cell>
          <cell r="G5">
            <v>58</v>
          </cell>
          <cell r="H5">
            <v>96.666666666666671</v>
          </cell>
          <cell r="I5">
            <v>4.8333333333333339</v>
          </cell>
          <cell r="J5">
            <v>9.75</v>
          </cell>
          <cell r="K5">
            <v>97.5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5</v>
          </cell>
          <cell r="G6">
            <v>10</v>
          </cell>
          <cell r="H6">
            <v>83.333333333333329</v>
          </cell>
          <cell r="I6">
            <v>4.166666666666667</v>
          </cell>
          <cell r="J6">
            <v>9.1666666666666679</v>
          </cell>
          <cell r="K6">
            <v>91.666666666666657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5</v>
          </cell>
          <cell r="G7">
            <v>16</v>
          </cell>
          <cell r="H7">
            <v>94.117647058823536</v>
          </cell>
          <cell r="I7">
            <v>4.7058823529411766</v>
          </cell>
          <cell r="J7">
            <v>9.7058823529411775</v>
          </cell>
          <cell r="K7">
            <v>97.058823529411768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5</v>
          </cell>
          <cell r="G8">
            <v>9</v>
          </cell>
          <cell r="H8">
            <v>90</v>
          </cell>
          <cell r="I8">
            <v>4.5</v>
          </cell>
          <cell r="J8">
            <v>9.5</v>
          </cell>
          <cell r="K8">
            <v>95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5</v>
          </cell>
          <cell r="G9">
            <v>8</v>
          </cell>
          <cell r="H9">
            <v>88.888888888888886</v>
          </cell>
          <cell r="I9">
            <v>4.4444444444444446</v>
          </cell>
          <cell r="J9">
            <v>9.4444444444444446</v>
          </cell>
          <cell r="K9">
            <v>94.444444444444443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5</v>
          </cell>
          <cell r="G10">
            <v>19</v>
          </cell>
          <cell r="H10">
            <v>95</v>
          </cell>
          <cell r="I10">
            <v>4.75</v>
          </cell>
          <cell r="J10">
            <v>9.75</v>
          </cell>
          <cell r="K10">
            <v>97.5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5</v>
          </cell>
          <cell r="G11">
            <v>9</v>
          </cell>
          <cell r="H11">
            <v>90</v>
          </cell>
          <cell r="I11">
            <v>4.5</v>
          </cell>
          <cell r="J11">
            <v>9.5</v>
          </cell>
          <cell r="K11">
            <v>95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5</v>
          </cell>
          <cell r="G12">
            <v>9</v>
          </cell>
          <cell r="H12">
            <v>90</v>
          </cell>
          <cell r="I12">
            <v>4.5</v>
          </cell>
          <cell r="J12">
            <v>9.5</v>
          </cell>
          <cell r="K12">
            <v>95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5</v>
          </cell>
          <cell r="G13">
            <v>7</v>
          </cell>
          <cell r="H13">
            <v>87.5</v>
          </cell>
          <cell r="I13">
            <v>4.375</v>
          </cell>
          <cell r="J13">
            <v>9.375</v>
          </cell>
          <cell r="K13">
            <v>93.75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5</v>
          </cell>
          <cell r="G14">
            <v>9</v>
          </cell>
          <cell r="H14">
            <v>90</v>
          </cell>
          <cell r="I14">
            <v>4.5</v>
          </cell>
          <cell r="J14">
            <v>9.5</v>
          </cell>
          <cell r="K14">
            <v>95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5</v>
          </cell>
          <cell r="G15">
            <v>19</v>
          </cell>
          <cell r="H15">
            <v>95</v>
          </cell>
          <cell r="I15">
            <v>4.75</v>
          </cell>
          <cell r="J15">
            <v>9.75</v>
          </cell>
          <cell r="K15">
            <v>97.5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5</v>
          </cell>
          <cell r="G16">
            <v>9</v>
          </cell>
          <cell r="H16">
            <v>90</v>
          </cell>
          <cell r="I16">
            <v>4.5</v>
          </cell>
          <cell r="J16">
            <v>9.5</v>
          </cell>
          <cell r="K16">
            <v>95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5</v>
          </cell>
          <cell r="G17">
            <v>7</v>
          </cell>
          <cell r="H17">
            <v>87.5</v>
          </cell>
          <cell r="I17">
            <v>4.375</v>
          </cell>
          <cell r="J17">
            <v>9.375</v>
          </cell>
          <cell r="K17">
            <v>93.75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91.666666666666671</v>
          </cell>
          <cell r="F18">
            <v>4.5833333333333339</v>
          </cell>
          <cell r="G18">
            <v>11</v>
          </cell>
          <cell r="H18">
            <v>91.666666666666671</v>
          </cell>
          <cell r="I18">
            <v>4.5833333333333339</v>
          </cell>
          <cell r="J18">
            <v>9.1666666666666679</v>
          </cell>
          <cell r="K18">
            <v>91.666666666666671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5</v>
          </cell>
          <cell r="G19">
            <v>11</v>
          </cell>
          <cell r="H19">
            <v>91.666666666666671</v>
          </cell>
          <cell r="I19">
            <v>4.5833333333333339</v>
          </cell>
          <cell r="J19">
            <v>9.5833333333333339</v>
          </cell>
          <cell r="K19">
            <v>95.833333333333343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5</v>
          </cell>
          <cell r="G20">
            <v>11</v>
          </cell>
          <cell r="H20">
            <v>91.666666666666671</v>
          </cell>
          <cell r="I20">
            <v>4.5833333333333339</v>
          </cell>
          <cell r="J20">
            <v>9.5833333333333339</v>
          </cell>
          <cell r="K20">
            <v>95.833333333333343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5</v>
          </cell>
          <cell r="G21">
            <v>19</v>
          </cell>
          <cell r="H21">
            <v>95</v>
          </cell>
          <cell r="I21">
            <v>4.75</v>
          </cell>
          <cell r="J21">
            <v>9.75</v>
          </cell>
          <cell r="K21">
            <v>97.5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5</v>
          </cell>
          <cell r="G22">
            <v>11</v>
          </cell>
          <cell r="H22">
            <v>91.666666666666671</v>
          </cell>
          <cell r="I22">
            <v>4.5833333333333339</v>
          </cell>
          <cell r="J22">
            <v>9.5833333333333339</v>
          </cell>
          <cell r="K22">
            <v>95.833333333333343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5</v>
          </cell>
          <cell r="G23">
            <v>26</v>
          </cell>
          <cell r="H23">
            <v>96.296296296296291</v>
          </cell>
          <cell r="I23">
            <v>4.8148148148148149</v>
          </cell>
          <cell r="J23">
            <v>9.8148148148148149</v>
          </cell>
          <cell r="K23">
            <v>98.148148148148152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5</v>
          </cell>
          <cell r="G24">
            <v>11</v>
          </cell>
          <cell r="H24">
            <v>91.666666666666671</v>
          </cell>
          <cell r="I24">
            <v>4.5833333333333339</v>
          </cell>
          <cell r="J24">
            <v>9.5833333333333339</v>
          </cell>
          <cell r="K24">
            <v>95.833333333333343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97.297297297297291</v>
          </cell>
          <cell r="F25">
            <v>4.8648648648648649</v>
          </cell>
          <cell r="G25">
            <v>36</v>
          </cell>
          <cell r="H25">
            <v>97.297297297297291</v>
          </cell>
          <cell r="I25">
            <v>4.8648648648648649</v>
          </cell>
          <cell r="J25">
            <v>9.7297297297297298</v>
          </cell>
          <cell r="K25">
            <v>97.297297297297291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5</v>
          </cell>
          <cell r="G26">
            <v>16</v>
          </cell>
          <cell r="H26">
            <v>94.117647058823536</v>
          </cell>
          <cell r="I26">
            <v>4.7058823529411766</v>
          </cell>
          <cell r="J26">
            <v>9.7058823529411775</v>
          </cell>
          <cell r="K26">
            <v>97.058823529411768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5</v>
          </cell>
          <cell r="G27">
            <v>13</v>
          </cell>
          <cell r="H27">
            <v>92.857142857142861</v>
          </cell>
          <cell r="I27">
            <v>4.6428571428571432</v>
          </cell>
          <cell r="J27">
            <v>9.6428571428571423</v>
          </cell>
          <cell r="K27">
            <v>96.428571428571431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5</v>
          </cell>
          <cell r="G28">
            <v>11</v>
          </cell>
          <cell r="H28">
            <v>91.666666666666671</v>
          </cell>
          <cell r="I28">
            <v>4.5833333333333339</v>
          </cell>
          <cell r="J28">
            <v>9.5833333333333339</v>
          </cell>
          <cell r="K28">
            <v>95.833333333333343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5</v>
          </cell>
          <cell r="G29">
            <v>11</v>
          </cell>
          <cell r="H29">
            <v>91.666666666666671</v>
          </cell>
          <cell r="I29">
            <v>4.5833333333333339</v>
          </cell>
          <cell r="J29">
            <v>9.5833333333333339</v>
          </cell>
          <cell r="K29">
            <v>95.833333333333343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5</v>
          </cell>
          <cell r="G30">
            <v>11</v>
          </cell>
          <cell r="H30">
            <v>91.666666666666671</v>
          </cell>
          <cell r="I30">
            <v>4.5833333333333339</v>
          </cell>
          <cell r="J30">
            <v>9.5833333333333339</v>
          </cell>
          <cell r="K30">
            <v>95.833333333333343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96.428571428571431</v>
          </cell>
          <cell r="F31">
            <v>4.8214285714285721</v>
          </cell>
          <cell r="G31">
            <v>27</v>
          </cell>
          <cell r="H31">
            <v>96.428571428571431</v>
          </cell>
          <cell r="I31">
            <v>4.8214285714285721</v>
          </cell>
          <cell r="J31">
            <v>9.6428571428571441</v>
          </cell>
          <cell r="K31">
            <v>96.428571428571431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5</v>
          </cell>
          <cell r="G32">
            <v>13</v>
          </cell>
          <cell r="H32">
            <v>92.857142857142861</v>
          </cell>
          <cell r="I32">
            <v>4.6428571428571432</v>
          </cell>
          <cell r="J32">
            <v>9.6428571428571423</v>
          </cell>
          <cell r="K32">
            <v>96.428571428571431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5</v>
          </cell>
          <cell r="G33">
            <v>9</v>
          </cell>
          <cell r="H33">
            <v>90</v>
          </cell>
          <cell r="I33">
            <v>4.5</v>
          </cell>
          <cell r="J33">
            <v>9.5</v>
          </cell>
          <cell r="K33">
            <v>95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5</v>
          </cell>
          <cell r="G34">
            <v>9</v>
          </cell>
          <cell r="H34">
            <v>90</v>
          </cell>
          <cell r="I34">
            <v>4.5</v>
          </cell>
          <cell r="J34">
            <v>9.5</v>
          </cell>
          <cell r="K34">
            <v>95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5</v>
          </cell>
          <cell r="G35">
            <v>7</v>
          </cell>
          <cell r="H35">
            <v>87.5</v>
          </cell>
          <cell r="I35">
            <v>4.375</v>
          </cell>
          <cell r="J35">
            <v>9.375</v>
          </cell>
          <cell r="K35">
            <v>93.75</v>
          </cell>
        </row>
        <row r="36">
          <cell r="C36">
            <v>513</v>
          </cell>
          <cell r="D36">
            <v>509</v>
          </cell>
          <cell r="E36">
            <v>99.506844506844516</v>
          </cell>
          <cell r="F36">
            <v>4.9753422253422261</v>
          </cell>
          <cell r="G36">
            <v>478</v>
          </cell>
          <cell r="H36">
            <v>91.876644278605056</v>
          </cell>
          <cell r="I36">
            <v>151.59646305969832</v>
          </cell>
          <cell r="J36">
            <v>315.78275649599186</v>
          </cell>
          <cell r="K36">
            <v>3157.8275649599186</v>
          </cell>
        </row>
      </sheetData>
      <sheetData sheetId="15">
        <row r="2">
          <cell r="B2" t="str">
            <v>PS</v>
          </cell>
          <cell r="C2" t="str">
            <v>FILES RECEIVED</v>
          </cell>
          <cell r="D2" t="str">
            <v>DISPOSAL</v>
          </cell>
          <cell r="E2" t="str">
            <v>TIME</v>
          </cell>
          <cell r="F2" t="str">
            <v>Raw Value</v>
          </cell>
          <cell r="G2" t="str">
            <v>Marks</v>
          </cell>
          <cell r="H2" t="str">
            <v>Reamrks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 t="str">
            <v>Gambling -1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 t="str">
            <v>Opend Drinking 2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 t="str">
            <v>open driking 4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open drinking 2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Open drinking 4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Missing Case Traced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Gambling -1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open drinking 1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</sheetData>
      <sheetData sheetId="16">
        <row r="2">
          <cell r="B2" t="str">
            <v>PS Name</v>
          </cell>
          <cell r="C2" t="str">
            <v xml:space="preserve">Total FIRS 
Registered </v>
          </cell>
          <cell r="D2" t="str">
            <v>Total FORM1 Uploads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E3">
            <v>100</v>
          </cell>
          <cell r="F3">
            <v>10</v>
          </cell>
        </row>
        <row r="4">
          <cell r="B4" t="str">
            <v>Anakapalli Rural</v>
          </cell>
          <cell r="E4">
            <v>100</v>
          </cell>
          <cell r="F4">
            <v>10</v>
          </cell>
        </row>
        <row r="5">
          <cell r="B5" t="str">
            <v>Anakapalli Town</v>
          </cell>
          <cell r="E5">
            <v>100</v>
          </cell>
          <cell r="F5">
            <v>10</v>
          </cell>
        </row>
        <row r="6">
          <cell r="B6" t="str">
            <v>Anakapalli Traffic</v>
          </cell>
          <cell r="E6">
            <v>100</v>
          </cell>
          <cell r="F6">
            <v>10</v>
          </cell>
        </row>
        <row r="7">
          <cell r="B7" t="str">
            <v>Atchutapuram</v>
          </cell>
          <cell r="E7">
            <v>100</v>
          </cell>
          <cell r="F7">
            <v>10</v>
          </cell>
        </row>
        <row r="8">
          <cell r="B8" t="str">
            <v>Butchiyyapeta</v>
          </cell>
          <cell r="E8">
            <v>100</v>
          </cell>
          <cell r="F8">
            <v>10</v>
          </cell>
        </row>
        <row r="9">
          <cell r="B9" t="str">
            <v>Cheedikada</v>
          </cell>
          <cell r="E9">
            <v>100</v>
          </cell>
          <cell r="F9">
            <v>10</v>
          </cell>
        </row>
        <row r="10">
          <cell r="B10" t="str">
            <v>Chodavaram</v>
          </cell>
          <cell r="E10">
            <v>100</v>
          </cell>
          <cell r="F10">
            <v>10</v>
          </cell>
        </row>
        <row r="11">
          <cell r="B11" t="str">
            <v>Devarapalli</v>
          </cell>
          <cell r="E11">
            <v>100</v>
          </cell>
          <cell r="F11">
            <v>10</v>
          </cell>
        </row>
        <row r="12">
          <cell r="B12" t="str">
            <v>Golugonda</v>
          </cell>
          <cell r="E12">
            <v>100</v>
          </cell>
          <cell r="F12">
            <v>10</v>
          </cell>
        </row>
        <row r="13">
          <cell r="B13" t="str">
            <v>K.D.Peta</v>
          </cell>
          <cell r="E13">
            <v>100</v>
          </cell>
          <cell r="F13">
            <v>10</v>
          </cell>
        </row>
        <row r="14">
          <cell r="B14" t="str">
            <v>K.Kotapadu</v>
          </cell>
          <cell r="E14">
            <v>100</v>
          </cell>
          <cell r="F14">
            <v>10</v>
          </cell>
        </row>
        <row r="15">
          <cell r="B15" t="str">
            <v>Kasimkota</v>
          </cell>
          <cell r="E15">
            <v>100</v>
          </cell>
          <cell r="F15">
            <v>10</v>
          </cell>
        </row>
        <row r="16">
          <cell r="B16" t="str">
            <v>Kotavurtla</v>
          </cell>
          <cell r="E16">
            <v>100</v>
          </cell>
          <cell r="F16">
            <v>10</v>
          </cell>
        </row>
        <row r="17">
          <cell r="B17" t="str">
            <v>Kothakota</v>
          </cell>
          <cell r="E17">
            <v>100</v>
          </cell>
          <cell r="F17">
            <v>10</v>
          </cell>
        </row>
        <row r="18">
          <cell r="B18" t="str">
            <v>Mahila UPS, Anakapalli</v>
          </cell>
          <cell r="E18">
            <v>100</v>
          </cell>
          <cell r="F18">
            <v>10</v>
          </cell>
        </row>
        <row r="19">
          <cell r="B19" t="str">
            <v>Makavarapalem</v>
          </cell>
          <cell r="E19">
            <v>100</v>
          </cell>
          <cell r="F19">
            <v>10</v>
          </cell>
        </row>
        <row r="20">
          <cell r="B20" t="str">
            <v>Munagapaka</v>
          </cell>
          <cell r="E20">
            <v>100</v>
          </cell>
          <cell r="F20">
            <v>10</v>
          </cell>
        </row>
        <row r="21">
          <cell r="B21" t="str">
            <v>Nakkapalli</v>
          </cell>
          <cell r="E21">
            <v>100</v>
          </cell>
          <cell r="F21">
            <v>10</v>
          </cell>
        </row>
        <row r="22">
          <cell r="B22" t="str">
            <v>Narsipatnam Rural</v>
          </cell>
          <cell r="E22">
            <v>100</v>
          </cell>
          <cell r="F22">
            <v>10</v>
          </cell>
        </row>
        <row r="23">
          <cell r="B23" t="str">
            <v>Narsipatnam Town</v>
          </cell>
          <cell r="E23">
            <v>100</v>
          </cell>
          <cell r="F23">
            <v>10</v>
          </cell>
        </row>
        <row r="24">
          <cell r="B24" t="str">
            <v>Nathavaram</v>
          </cell>
          <cell r="E24">
            <v>100</v>
          </cell>
          <cell r="F24">
            <v>10</v>
          </cell>
        </row>
        <row r="25">
          <cell r="B25" t="str">
            <v>Parawada</v>
          </cell>
          <cell r="C25">
            <v>2</v>
          </cell>
          <cell r="D25">
            <v>2</v>
          </cell>
          <cell r="E25">
            <v>100</v>
          </cell>
          <cell r="F25">
            <v>10</v>
          </cell>
        </row>
        <row r="26">
          <cell r="B26" t="str">
            <v>Payakaraopeta</v>
          </cell>
          <cell r="E26">
            <v>100</v>
          </cell>
          <cell r="F26">
            <v>10</v>
          </cell>
        </row>
        <row r="27">
          <cell r="B27" t="str">
            <v>Rambilli</v>
          </cell>
          <cell r="C27">
            <v>1</v>
          </cell>
          <cell r="D27">
            <v>1</v>
          </cell>
          <cell r="E27">
            <v>100</v>
          </cell>
          <cell r="F27">
            <v>10</v>
          </cell>
        </row>
        <row r="28">
          <cell r="B28" t="str">
            <v>Ravikamatham</v>
          </cell>
          <cell r="E28">
            <v>100</v>
          </cell>
          <cell r="F28">
            <v>10</v>
          </cell>
        </row>
        <row r="29">
          <cell r="B29" t="str">
            <v>Rolugunta</v>
          </cell>
          <cell r="E29">
            <v>100</v>
          </cell>
          <cell r="F29">
            <v>10</v>
          </cell>
        </row>
        <row r="30">
          <cell r="B30" t="str">
            <v>S.Rayavaram</v>
          </cell>
          <cell r="E30">
            <v>100</v>
          </cell>
          <cell r="F30">
            <v>10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100</v>
          </cell>
          <cell r="F31">
            <v>10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100</v>
          </cell>
          <cell r="F32">
            <v>10</v>
          </cell>
        </row>
        <row r="33">
          <cell r="B33" t="str">
            <v>Yelamanchili Rural</v>
          </cell>
          <cell r="C33">
            <v>2</v>
          </cell>
          <cell r="D33">
            <v>2</v>
          </cell>
          <cell r="E33">
            <v>100</v>
          </cell>
          <cell r="F33">
            <v>10</v>
          </cell>
        </row>
        <row r="34">
          <cell r="B34" t="str">
            <v>Yelamanchili Town</v>
          </cell>
          <cell r="E34">
            <v>100</v>
          </cell>
          <cell r="F34">
            <v>10</v>
          </cell>
        </row>
        <row r="35">
          <cell r="B35" t="str">
            <v>Yelamanchili Traffic</v>
          </cell>
          <cell r="E35">
            <v>100</v>
          </cell>
          <cell r="F35">
            <v>10</v>
          </cell>
        </row>
        <row r="36">
          <cell r="C36">
            <v>7</v>
          </cell>
          <cell r="D36">
            <v>7</v>
          </cell>
          <cell r="E36">
            <v>100</v>
          </cell>
          <cell r="F36">
            <v>10</v>
          </cell>
        </row>
      </sheetData>
      <sheetData sheetId="17">
        <row r="2">
          <cell r="B2" t="str">
            <v>PS</v>
          </cell>
          <cell r="C2">
            <v>46295</v>
          </cell>
          <cell r="E2">
            <v>46295</v>
          </cell>
          <cell r="G2">
            <v>2</v>
          </cell>
          <cell r="I2">
            <v>3</v>
          </cell>
          <cell r="K2">
            <v>4</v>
          </cell>
          <cell r="M2">
            <v>5</v>
          </cell>
          <cell r="O2">
            <v>6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6</v>
          </cell>
          <cell r="D4">
            <v>6</v>
          </cell>
          <cell r="E4">
            <v>6</v>
          </cell>
          <cell r="F4">
            <v>1</v>
          </cell>
          <cell r="G4">
            <v>5</v>
          </cell>
          <cell r="H4">
            <v>11</v>
          </cell>
          <cell r="I4">
            <v>1</v>
          </cell>
          <cell r="J4">
            <v>1</v>
          </cell>
          <cell r="K4">
            <v>1</v>
          </cell>
          <cell r="L4">
            <v>3</v>
          </cell>
          <cell r="M4">
            <v>3</v>
          </cell>
          <cell r="N4">
            <v>1</v>
          </cell>
          <cell r="O4">
            <v>1</v>
          </cell>
          <cell r="P4">
            <v>3</v>
          </cell>
          <cell r="Q4">
            <v>5</v>
          </cell>
          <cell r="R4">
            <v>100</v>
          </cell>
        </row>
        <row r="5">
          <cell r="B5" t="str">
            <v>Anakapalli Rural</v>
          </cell>
          <cell r="C5">
            <v>1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5</v>
          </cell>
          <cell r="R5">
            <v>100</v>
          </cell>
        </row>
        <row r="6">
          <cell r="B6" t="str">
            <v>Anakapalli Town</v>
          </cell>
          <cell r="C6">
            <v>5</v>
          </cell>
          <cell r="D6">
            <v>1</v>
          </cell>
          <cell r="E6">
            <v>3</v>
          </cell>
          <cell r="F6">
            <v>1</v>
          </cell>
          <cell r="G6">
            <v>1</v>
          </cell>
          <cell r="H6">
            <v>1</v>
          </cell>
          <cell r="I6">
            <v>3</v>
          </cell>
          <cell r="J6">
            <v>1</v>
          </cell>
          <cell r="K6">
            <v>2</v>
          </cell>
          <cell r="L6">
            <v>1</v>
          </cell>
          <cell r="M6">
            <v>1</v>
          </cell>
          <cell r="N6">
            <v>1</v>
          </cell>
          <cell r="O6">
            <v>2</v>
          </cell>
          <cell r="P6">
            <v>1</v>
          </cell>
          <cell r="Q6">
            <v>5</v>
          </cell>
          <cell r="R6">
            <v>100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Q7">
            <v>4.6428571428571432</v>
          </cell>
          <cell r="R7">
            <v>92.857142857142861</v>
          </cell>
        </row>
        <row r="8">
          <cell r="B8" t="str">
            <v>Atchutapuram</v>
          </cell>
          <cell r="C8">
            <v>14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4</v>
          </cell>
          <cell r="P8">
            <v>1</v>
          </cell>
          <cell r="Q8">
            <v>5</v>
          </cell>
          <cell r="R8">
            <v>100</v>
          </cell>
        </row>
        <row r="9">
          <cell r="B9" t="str">
            <v>Butchiyyapeta</v>
          </cell>
          <cell r="C9">
            <v>1</v>
          </cell>
          <cell r="E9">
            <v>1</v>
          </cell>
          <cell r="G9">
            <v>1</v>
          </cell>
          <cell r="K9">
            <v>2</v>
          </cell>
          <cell r="M9">
            <v>1</v>
          </cell>
          <cell r="N9">
            <v>1</v>
          </cell>
          <cell r="O9">
            <v>1</v>
          </cell>
          <cell r="Q9">
            <v>2.5</v>
          </cell>
          <cell r="R9">
            <v>50</v>
          </cell>
        </row>
        <row r="10">
          <cell r="B10" t="str">
            <v>Cheedikada</v>
          </cell>
          <cell r="C10">
            <v>1</v>
          </cell>
          <cell r="F10">
            <v>1</v>
          </cell>
          <cell r="I10">
            <v>1</v>
          </cell>
          <cell r="K10">
            <v>1</v>
          </cell>
          <cell r="M10">
            <v>1</v>
          </cell>
          <cell r="N10">
            <v>1</v>
          </cell>
          <cell r="O10">
            <v>1</v>
          </cell>
          <cell r="Q10">
            <v>2.5</v>
          </cell>
          <cell r="R10">
            <v>50</v>
          </cell>
        </row>
        <row r="11">
          <cell r="B11" t="str">
            <v>Chodavaram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1</v>
          </cell>
          <cell r="Q11">
            <v>5</v>
          </cell>
          <cell r="R11">
            <v>100</v>
          </cell>
        </row>
        <row r="12">
          <cell r="B12" t="str">
            <v>Devarapalli</v>
          </cell>
          <cell r="C12">
            <v>7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5</v>
          </cell>
          <cell r="R12">
            <v>100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5</v>
          </cell>
          <cell r="R13">
            <v>100</v>
          </cell>
        </row>
        <row r="14">
          <cell r="B14" t="str">
            <v>K.D.Peta</v>
          </cell>
          <cell r="C14">
            <v>1</v>
          </cell>
          <cell r="D14">
            <v>1</v>
          </cell>
          <cell r="F14">
            <v>1</v>
          </cell>
          <cell r="I14">
            <v>1</v>
          </cell>
          <cell r="L14">
            <v>1</v>
          </cell>
          <cell r="M14">
            <v>1</v>
          </cell>
          <cell r="O14">
            <v>1</v>
          </cell>
          <cell r="Q14">
            <v>2.5</v>
          </cell>
          <cell r="R14">
            <v>50</v>
          </cell>
        </row>
        <row r="15">
          <cell r="B15" t="str">
            <v>K.Kotapadu</v>
          </cell>
          <cell r="C15">
            <v>1</v>
          </cell>
          <cell r="F15">
            <v>1</v>
          </cell>
          <cell r="I15">
            <v>2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Q15">
            <v>2.5</v>
          </cell>
          <cell r="R15">
            <v>50</v>
          </cell>
        </row>
        <row r="16">
          <cell r="B16" t="str">
            <v>Kasimkota</v>
          </cell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2</v>
          </cell>
          <cell r="P16">
            <v>1</v>
          </cell>
          <cell r="Q16">
            <v>5</v>
          </cell>
          <cell r="R16">
            <v>100</v>
          </cell>
        </row>
        <row r="17">
          <cell r="B17" t="str">
            <v>Kotavurtla</v>
          </cell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44</v>
          </cell>
          <cell r="P17">
            <v>1</v>
          </cell>
          <cell r="Q17">
            <v>5</v>
          </cell>
          <cell r="R17">
            <v>100</v>
          </cell>
        </row>
        <row r="18">
          <cell r="B18" t="str">
            <v>Kothakota</v>
          </cell>
          <cell r="C18">
            <v>1</v>
          </cell>
          <cell r="F18">
            <v>1</v>
          </cell>
          <cell r="H18">
            <v>1</v>
          </cell>
          <cell r="J18">
            <v>1</v>
          </cell>
          <cell r="L18">
            <v>1</v>
          </cell>
          <cell r="M18">
            <v>1</v>
          </cell>
          <cell r="O18">
            <v>1</v>
          </cell>
          <cell r="Q18">
            <v>2.5</v>
          </cell>
          <cell r="R18">
            <v>50</v>
          </cell>
        </row>
        <row r="19">
          <cell r="B19" t="str">
            <v>Mahila UPS, Anakapalli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5</v>
          </cell>
          <cell r="R19">
            <v>100</v>
          </cell>
        </row>
        <row r="20">
          <cell r="B20" t="str">
            <v>Makavarapalem</v>
          </cell>
          <cell r="C20">
            <v>1</v>
          </cell>
          <cell r="E20">
            <v>1</v>
          </cell>
          <cell r="G20">
            <v>1</v>
          </cell>
          <cell r="I20">
            <v>1</v>
          </cell>
          <cell r="K20">
            <v>1</v>
          </cell>
          <cell r="N20">
            <v>1</v>
          </cell>
          <cell r="O20">
            <v>1</v>
          </cell>
          <cell r="Q20">
            <v>2.5</v>
          </cell>
          <cell r="R20">
            <v>50</v>
          </cell>
        </row>
        <row r="21">
          <cell r="B21" t="str">
            <v>Munagapaka</v>
          </cell>
          <cell r="C21">
            <v>1</v>
          </cell>
          <cell r="D21">
            <v>1</v>
          </cell>
          <cell r="E21">
            <v>2</v>
          </cell>
          <cell r="F21">
            <v>1</v>
          </cell>
          <cell r="G21">
            <v>3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5</v>
          </cell>
          <cell r="R21">
            <v>100</v>
          </cell>
        </row>
        <row r="22">
          <cell r="B22" t="str">
            <v>Nakkapalli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23</v>
          </cell>
          <cell r="P22">
            <v>9</v>
          </cell>
          <cell r="Q22">
            <v>5</v>
          </cell>
          <cell r="R22">
            <v>100</v>
          </cell>
        </row>
        <row r="23">
          <cell r="B23" t="str">
            <v>Narsipatnam Rural</v>
          </cell>
          <cell r="C23">
            <v>1</v>
          </cell>
          <cell r="E23">
            <v>1</v>
          </cell>
          <cell r="H23">
            <v>1</v>
          </cell>
          <cell r="I23">
            <v>1</v>
          </cell>
          <cell r="J23">
            <v>1</v>
          </cell>
          <cell r="L23">
            <v>1</v>
          </cell>
          <cell r="N23">
            <v>1</v>
          </cell>
          <cell r="Q23">
            <v>2.5</v>
          </cell>
          <cell r="R23">
            <v>50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3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5</v>
          </cell>
          <cell r="R24">
            <v>100</v>
          </cell>
        </row>
        <row r="25">
          <cell r="B25" t="str">
            <v>Nathavaram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2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5</v>
          </cell>
          <cell r="R25">
            <v>100</v>
          </cell>
        </row>
        <row r="26">
          <cell r="B26" t="str">
            <v>Parawada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5</v>
          </cell>
          <cell r="R26">
            <v>100</v>
          </cell>
        </row>
        <row r="27">
          <cell r="B27" t="str">
            <v>Payakaraopeta</v>
          </cell>
          <cell r="C27">
            <v>2</v>
          </cell>
          <cell r="D27">
            <v>1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6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5</v>
          </cell>
          <cell r="R27">
            <v>100</v>
          </cell>
        </row>
        <row r="28">
          <cell r="B28" t="str">
            <v>Rambilli</v>
          </cell>
          <cell r="C28">
            <v>1</v>
          </cell>
          <cell r="E28">
            <v>1</v>
          </cell>
          <cell r="H28">
            <v>1</v>
          </cell>
          <cell r="I28">
            <v>1</v>
          </cell>
          <cell r="K28">
            <v>1</v>
          </cell>
          <cell r="M28">
            <v>1</v>
          </cell>
          <cell r="N28">
            <v>1</v>
          </cell>
          <cell r="Q28">
            <v>2.5</v>
          </cell>
          <cell r="R28">
            <v>50</v>
          </cell>
        </row>
        <row r="29">
          <cell r="B29" t="str">
            <v>Ravikamatham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Q29">
            <v>4.6428571428571432</v>
          </cell>
          <cell r="R29">
            <v>92.857142857142861</v>
          </cell>
        </row>
        <row r="30">
          <cell r="B30" t="str">
            <v>Rolugunta</v>
          </cell>
          <cell r="C30">
            <v>1</v>
          </cell>
          <cell r="E30">
            <v>1</v>
          </cell>
          <cell r="H30">
            <v>1</v>
          </cell>
          <cell r="J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Q30">
            <v>2.8571428571428572</v>
          </cell>
          <cell r="R30">
            <v>57.142857142857139</v>
          </cell>
        </row>
        <row r="31">
          <cell r="B31" t="str">
            <v>S.Rayavaram</v>
          </cell>
          <cell r="C31">
            <v>1</v>
          </cell>
          <cell r="D31">
            <v>1</v>
          </cell>
          <cell r="E31">
            <v>1</v>
          </cell>
          <cell r="G31">
            <v>1</v>
          </cell>
          <cell r="H31">
            <v>1</v>
          </cell>
          <cell r="J31">
            <v>1</v>
          </cell>
          <cell r="K31">
            <v>2</v>
          </cell>
          <cell r="L31">
            <v>1</v>
          </cell>
          <cell r="M31">
            <v>1</v>
          </cell>
          <cell r="N31">
            <v>1</v>
          </cell>
          <cell r="O31">
            <v>2</v>
          </cell>
          <cell r="P31">
            <v>1</v>
          </cell>
          <cell r="Q31">
            <v>4.2857142857142856</v>
          </cell>
          <cell r="R31">
            <v>85.714285714285708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8</v>
          </cell>
          <cell r="P32">
            <v>1</v>
          </cell>
          <cell r="Q32">
            <v>5</v>
          </cell>
          <cell r="R32">
            <v>100</v>
          </cell>
        </row>
        <row r="33">
          <cell r="B33" t="str">
            <v>V.Madugula</v>
          </cell>
          <cell r="C33">
            <v>1</v>
          </cell>
          <cell r="F33">
            <v>1</v>
          </cell>
          <cell r="H33">
            <v>1</v>
          </cell>
          <cell r="J33">
            <v>1</v>
          </cell>
          <cell r="L33">
            <v>1</v>
          </cell>
          <cell r="N33">
            <v>1</v>
          </cell>
          <cell r="O33">
            <v>1</v>
          </cell>
          <cell r="Q33">
            <v>2.5</v>
          </cell>
          <cell r="R33">
            <v>50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E34">
            <v>4</v>
          </cell>
          <cell r="F34">
            <v>1</v>
          </cell>
          <cell r="G34">
            <v>2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5</v>
          </cell>
          <cell r="R34">
            <v>100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  <cell r="G35">
            <v>3</v>
          </cell>
          <cell r="H35">
            <v>1</v>
          </cell>
          <cell r="I35">
            <v>1</v>
          </cell>
          <cell r="J35">
            <v>1</v>
          </cell>
          <cell r="K35">
            <v>2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5</v>
          </cell>
          <cell r="R35">
            <v>100</v>
          </cell>
        </row>
        <row r="36">
          <cell r="B36" t="str">
            <v>Yelamanchili Traffic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5</v>
          </cell>
          <cell r="R36">
            <v>100</v>
          </cell>
        </row>
        <row r="37">
          <cell r="C37">
            <v>63</v>
          </cell>
          <cell r="D37">
            <v>29</v>
          </cell>
          <cell r="E37">
            <v>41</v>
          </cell>
          <cell r="F37">
            <v>28</v>
          </cell>
          <cell r="G37">
            <v>35</v>
          </cell>
          <cell r="H37">
            <v>39</v>
          </cell>
          <cell r="I37">
            <v>33</v>
          </cell>
          <cell r="J37">
            <v>27</v>
          </cell>
          <cell r="K37">
            <v>37</v>
          </cell>
          <cell r="L37">
            <v>32</v>
          </cell>
          <cell r="M37">
            <v>32</v>
          </cell>
          <cell r="N37">
            <v>31</v>
          </cell>
          <cell r="O37">
            <v>110</v>
          </cell>
          <cell r="P37">
            <v>31</v>
          </cell>
          <cell r="Q37">
            <v>4.2099567099567103</v>
          </cell>
          <cell r="R37">
            <v>84.199134199134207</v>
          </cell>
        </row>
      </sheetData>
      <sheetData sheetId="18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19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E4">
            <v>100</v>
          </cell>
          <cell r="F4">
            <v>5</v>
          </cell>
        </row>
        <row r="5">
          <cell r="B5" t="str">
            <v>Anakapalli Town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E8">
            <v>100</v>
          </cell>
          <cell r="F8">
            <v>5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E12">
            <v>100</v>
          </cell>
          <cell r="F12">
            <v>5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E14">
            <v>100</v>
          </cell>
          <cell r="F14">
            <v>5</v>
          </cell>
        </row>
        <row r="15">
          <cell r="B15" t="str">
            <v>Kasimkota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E19">
            <v>100</v>
          </cell>
          <cell r="F19">
            <v>5</v>
          </cell>
        </row>
        <row r="20">
          <cell r="B20" t="str">
            <v>Munagapaka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E26">
            <v>100</v>
          </cell>
          <cell r="F26">
            <v>5</v>
          </cell>
        </row>
        <row r="27">
          <cell r="B27" t="str">
            <v>Rambilli</v>
          </cell>
          <cell r="E27">
            <v>100</v>
          </cell>
          <cell r="F27">
            <v>5</v>
          </cell>
        </row>
        <row r="28">
          <cell r="B28" t="str">
            <v>Ravikamatham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E32">
            <v>100</v>
          </cell>
          <cell r="F32">
            <v>5</v>
          </cell>
        </row>
        <row r="33">
          <cell r="B33" t="str">
            <v>Yelamanchili Rural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4CA1-901A-4898-A6A6-9E99D33AF382}">
  <sheetPr>
    <tabColor rgb="FF00B0F0"/>
    <pageSetUpPr fitToPage="1"/>
  </sheetPr>
  <dimension ref="A1:W35"/>
  <sheetViews>
    <sheetView tabSelected="1" topLeftCell="D1" workbookViewId="0">
      <pane ySplit="2" topLeftCell="A11" activePane="bottomLeft" state="frozen"/>
      <selection pane="bottomLeft" activeCell="A16" sqref="A16:XFD16"/>
    </sheetView>
  </sheetViews>
  <sheetFormatPr defaultRowHeight="14.5" x14ac:dyDescent="0.35"/>
  <cols>
    <col min="1" max="1" width="23.54296875" customWidth="1"/>
    <col min="2" max="23" width="7" style="10" customWidth="1"/>
  </cols>
  <sheetData>
    <row r="1" spans="1:23" ht="84.6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3.75" customHeight="1" x14ac:dyDescent="0.35">
      <c r="A2" s="4" t="s">
        <v>23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0.1</v>
      </c>
      <c r="Q2" s="6">
        <v>0.05</v>
      </c>
      <c r="R2" s="6">
        <v>0.1</v>
      </c>
      <c r="S2" s="6">
        <v>0.05</v>
      </c>
      <c r="T2" s="6">
        <v>0.05</v>
      </c>
      <c r="U2" s="6">
        <v>0.05</v>
      </c>
      <c r="V2" s="5">
        <v>2.5000000000000001E-2</v>
      </c>
      <c r="W2" s="5">
        <v>2.5000000000000001E-2</v>
      </c>
    </row>
    <row r="3" spans="1:23" s="9" customFormat="1" ht="26.15" customHeight="1" x14ac:dyDescent="0.35">
      <c r="A3" s="7" t="s">
        <v>24</v>
      </c>
      <c r="B3" s="8">
        <f>VLOOKUP(A3,'[1]1_MEDLEAPR_PME'!B:H,6,0)</f>
        <v>100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100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VLOOKUP(A3,'[1]11_CEIR'!B:L,10,0)</f>
        <v>0</v>
      </c>
      <c r="M3" s="8">
        <f>VLOOKUP(A3,'[1]12_EPROSEC'!B:H,4,0)</f>
        <v>100</v>
      </c>
      <c r="N3" s="8">
        <f>VLOOKUP(A3,'[1]13_FIR_CS_COURT'!B:L,11,0)</f>
        <v>77.371246768741301</v>
      </c>
      <c r="O3" s="8">
        <f>VLOOKUP(A3,'[1]14_EOFFICE'!B:K,9,0)</f>
        <v>0</v>
      </c>
      <c r="P3" s="8">
        <f>VLOOKUP(A3,'[1]15_APOLIS'!B:K,10,0)</f>
        <v>100</v>
      </c>
      <c r="Q3" s="8">
        <f>VLOOKUP(A3,'[1]16_APOLICE_FP'!B:H,5,0)</f>
        <v>0</v>
      </c>
      <c r="R3" s="8">
        <f>VLOOKUP(A3,'[1]17_EDAR'!B:F,4,0)</f>
        <v>100</v>
      </c>
      <c r="S3" s="8">
        <f>VLOOKUP(A3,'[1]18_CCTV_360'!B:S,17,0)</f>
        <v>100</v>
      </c>
      <c r="T3" s="8">
        <f>VLOOKUP(A3,'[1]19_NEWS360AI'!B:D,2,0)</f>
        <v>0</v>
      </c>
      <c r="U3" s="8">
        <f>VLOOKUP(A3,'[1]20_eFSL'!B:F,4,0)</f>
        <v>100</v>
      </c>
      <c r="V3" s="8">
        <f>VLOOKUP(A3,'[1]21_UC3'!B:D,2,0)</f>
        <v>0</v>
      </c>
      <c r="W3" s="8">
        <f>VLOOKUP(A3,'[1]22_UC4'!B:D,3,0)</f>
        <v>0</v>
      </c>
    </row>
    <row r="4" spans="1:23" s="9" customFormat="1" ht="26.15" customHeight="1" x14ac:dyDescent="0.35">
      <c r="A4" s="7" t="s">
        <v>25</v>
      </c>
      <c r="B4" s="8">
        <f>VLOOKUP(A4,'[1]1_MEDLEAPR_PME'!B:H,6,0)</f>
        <v>100</v>
      </c>
      <c r="C4" s="8" t="str">
        <f>VLOOKUP(A4,'[1]2_MEDLEAPR_MLC'!B:I,6,0)</f>
        <v>100.00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95.82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42.702702702702702</v>
      </c>
      <c r="L4" s="8">
        <f>VLOOKUP(A4,'[1]11_CEIR'!B:L,10,0)</f>
        <v>0</v>
      </c>
      <c r="M4" s="8">
        <f>VLOOKUP(A4,'[1]12_EPROSEC'!B:H,4,0)</f>
        <v>100</v>
      </c>
      <c r="N4" s="8">
        <f>VLOOKUP(A4,'[1]13_FIR_CS_COURT'!B:L,11,0)</f>
        <v>72.285067873303177</v>
      </c>
      <c r="O4" s="8">
        <f>VLOOKUP(A4,'[1]14_EOFFICE'!B:K,9,0)</f>
        <v>0</v>
      </c>
      <c r="P4" s="8">
        <f>VLOOKUP(A4,'[1]15_APOLIS'!B:K,10,0)</f>
        <v>94.117647058823536</v>
      </c>
      <c r="Q4" s="8">
        <f>VLOOKUP(A4,'[1]16_APOLICE_FP'!B:H,5,0)</f>
        <v>0</v>
      </c>
      <c r="R4" s="8">
        <f>VLOOKUP(A4,'[1]17_EDAR'!B:F,4,0)</f>
        <v>100</v>
      </c>
      <c r="S4" s="8">
        <f>VLOOKUP(A4,'[1]18_CCTV_360'!B:S,17,0)</f>
        <v>100</v>
      </c>
      <c r="T4" s="8">
        <f>VLOOKUP(A4,'[1]19_NEWS360AI'!B:D,2,0)</f>
        <v>0</v>
      </c>
      <c r="U4" s="8">
        <f>VLOOKUP(A4,'[1]20_eFSL'!B:F,4,0)</f>
        <v>100</v>
      </c>
      <c r="V4" s="8">
        <f>VLOOKUP(A4,'[1]21_UC3'!B:D,2,0)</f>
        <v>0</v>
      </c>
      <c r="W4" s="8">
        <f>VLOOKUP(A4,'[1]22_UC4'!B:D,3,0)</f>
        <v>0</v>
      </c>
    </row>
    <row r="5" spans="1:23" s="9" customFormat="1" ht="26.15" customHeight="1" x14ac:dyDescent="0.35">
      <c r="A5" s="7" t="s">
        <v>26</v>
      </c>
      <c r="B5" s="8" t="str">
        <f>VLOOKUP(A5,'[1]1_MEDLEAPR_PME'!B:H,6,0)</f>
        <v>100.00</v>
      </c>
      <c r="C5" s="8" t="str">
        <f>VLOOKUP(A5,'[1]2_MEDLEAPR_MLC'!B:I,6,0)</f>
        <v>100.00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81.23</v>
      </c>
      <c r="G5" s="8">
        <f>VLOOKUP(A5,'[1]6_CCTNS_1_7'!B:P,13,0)</f>
        <v>69.72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40.585774058577407</v>
      </c>
      <c r="L5" s="8">
        <f>VLOOKUP(A5,'[1]11_CEIR'!B:L,10,0)</f>
        <v>0</v>
      </c>
      <c r="M5" s="8">
        <f>VLOOKUP(A5,'[1]12_EPROSEC'!B:H,4,0)</f>
        <v>0</v>
      </c>
      <c r="N5" s="8">
        <f>VLOOKUP(A5,'[1]13_FIR_CS_COURT'!B:L,11,0)</f>
        <v>68.813939403859692</v>
      </c>
      <c r="O5" s="8">
        <f>VLOOKUP(A5,'[1]14_EOFFICE'!B:K,9,0)</f>
        <v>0</v>
      </c>
      <c r="P5" s="8">
        <f>VLOOKUP(A5,'[1]15_APOLIS'!B:K,10,0)</f>
        <v>97.5</v>
      </c>
      <c r="Q5" s="8">
        <f>VLOOKUP(A5,'[1]16_APOLICE_FP'!B:H,5,0)</f>
        <v>0</v>
      </c>
      <c r="R5" s="8">
        <f>VLOOKUP(A5,'[1]17_EDAR'!B:F,4,0)</f>
        <v>100</v>
      </c>
      <c r="S5" s="8">
        <f>VLOOKUP(A5,'[1]18_CCTV_360'!B:S,17,0)</f>
        <v>100</v>
      </c>
      <c r="T5" s="8">
        <f>VLOOKUP(A5,'[1]19_NEWS360AI'!B:D,2,0)</f>
        <v>0</v>
      </c>
      <c r="U5" s="8">
        <f>VLOOKUP(A5,'[1]20_eFSL'!B:F,4,0)</f>
        <v>100</v>
      </c>
      <c r="V5" s="8">
        <f>VLOOKUP(A5,'[1]21_UC3'!B:D,2,0)</f>
        <v>0</v>
      </c>
      <c r="W5" s="8">
        <f>VLOOKUP(A5,'[1]22_UC4'!B:D,3,0)</f>
        <v>0</v>
      </c>
    </row>
    <row r="6" spans="1:23" s="9" customFormat="1" ht="26.15" customHeight="1" x14ac:dyDescent="0.35">
      <c r="A6" s="7" t="s">
        <v>27</v>
      </c>
      <c r="B6" s="8" t="str">
        <f>VLOOKUP(A6,'[1]1_MEDLEAPR_PME'!B:H,6,0)</f>
        <v>100.00</v>
      </c>
      <c r="C6" s="8" t="str">
        <f>VLOOKUP(A6,'[1]2_MEDLEAPR_MLC'!B:I,6,0)</f>
        <v>100.00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50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61.206896551724135</v>
      </c>
      <c r="L6" s="8">
        <f>VLOOKUP(A6,'[1]11_CEIR'!B:L,10,0)</f>
        <v>0</v>
      </c>
      <c r="M6" s="8">
        <f>VLOOKUP(A6,'[1]12_EPROSEC'!B:H,4,0)</f>
        <v>100</v>
      </c>
      <c r="N6" s="8">
        <f>VLOOKUP(A6,'[1]13_FIR_CS_COURT'!B:L,11,0)</f>
        <v>75.545762566477947</v>
      </c>
      <c r="O6" s="8">
        <f>VLOOKUP(A6,'[1]14_EOFFICE'!B:K,9,0)</f>
        <v>0</v>
      </c>
      <c r="P6" s="8">
        <f>VLOOKUP(A6,'[1]15_APOLIS'!B:K,10,0)</f>
        <v>91.666666666666657</v>
      </c>
      <c r="Q6" s="8">
        <f>VLOOKUP(A6,'[1]16_APOLICE_FP'!B:H,5,0)</f>
        <v>0</v>
      </c>
      <c r="R6" s="8">
        <f>VLOOKUP(A6,'[1]17_EDAR'!B:F,4,0)</f>
        <v>100</v>
      </c>
      <c r="S6" s="8">
        <f>VLOOKUP(A6,'[1]18_CCTV_360'!B:S,17,0)</f>
        <v>92.857142857142861</v>
      </c>
      <c r="T6" s="8">
        <f>VLOOKUP(A6,'[1]19_NEWS360AI'!B:D,2,0)</f>
        <v>0</v>
      </c>
      <c r="U6" s="8">
        <f>VLOOKUP(A6,'[1]20_eFSL'!B:F,4,0)</f>
        <v>100</v>
      </c>
      <c r="V6" s="8">
        <f>VLOOKUP(A6,'[1]21_UC3'!B:D,2,0)</f>
        <v>0</v>
      </c>
      <c r="W6" s="8">
        <f>VLOOKUP(A6,'[1]22_UC4'!B:D,3,0)</f>
        <v>0</v>
      </c>
    </row>
    <row r="7" spans="1:23" s="9" customFormat="1" ht="26.15" customHeight="1" x14ac:dyDescent="0.35">
      <c r="A7" s="7" t="s">
        <v>28</v>
      </c>
      <c r="B7" s="8">
        <f>VLOOKUP(A7,'[1]1_MEDLEAPR_PME'!B:H,6,0)</f>
        <v>100</v>
      </c>
      <c r="C7" s="8" t="str">
        <f>VLOOKUP(A7,'[1]2_MEDLEAPR_MLC'!B:I,6,0)</f>
        <v>100.00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95.14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57.653061224489797</v>
      </c>
      <c r="L7" s="8">
        <f>VLOOKUP(A7,'[1]11_CEIR'!B:L,10,0)</f>
        <v>0</v>
      </c>
      <c r="M7" s="8">
        <f>VLOOKUP(A7,'[1]12_EPROSEC'!B:H,4,0)</f>
        <v>100</v>
      </c>
      <c r="N7" s="8">
        <f>VLOOKUP(A7,'[1]13_FIR_CS_COURT'!B:L,11,0)</f>
        <v>81.445940078158927</v>
      </c>
      <c r="O7" s="8">
        <f>VLOOKUP(A7,'[1]14_EOFFICE'!B:K,9,0)</f>
        <v>0</v>
      </c>
      <c r="P7" s="8">
        <f>VLOOKUP(A7,'[1]15_APOLIS'!B:K,10,0)</f>
        <v>97.058823529411768</v>
      </c>
      <c r="Q7" s="8">
        <f>VLOOKUP(A7,'[1]16_APOLICE_FP'!B:H,5,0)</f>
        <v>0</v>
      </c>
      <c r="R7" s="8">
        <f>VLOOKUP(A7,'[1]17_EDAR'!B:F,4,0)</f>
        <v>100</v>
      </c>
      <c r="S7" s="8">
        <f>VLOOKUP(A7,'[1]18_CCTV_360'!B:S,17,0)</f>
        <v>100</v>
      </c>
      <c r="T7" s="8">
        <f>VLOOKUP(A7,'[1]19_NEWS360AI'!B:D,2,0)</f>
        <v>0</v>
      </c>
      <c r="U7" s="8">
        <f>VLOOKUP(A7,'[1]20_eFSL'!B:F,4,0)</f>
        <v>100</v>
      </c>
      <c r="V7" s="8">
        <f>VLOOKUP(A7,'[1]21_UC3'!B:D,2,0)</f>
        <v>0</v>
      </c>
      <c r="W7" s="8">
        <f>VLOOKUP(A7,'[1]22_UC4'!B:D,3,0)</f>
        <v>0</v>
      </c>
    </row>
    <row r="8" spans="1:23" s="9" customFormat="1" ht="26.15" customHeight="1" x14ac:dyDescent="0.35">
      <c r="A8" s="7" t="s">
        <v>29</v>
      </c>
      <c r="B8" s="8" t="str">
        <f>VLOOKUP(A8,'[1]1_MEDLEAPR_PME'!B:H,6,0)</f>
        <v>100.00</v>
      </c>
      <c r="C8" s="8">
        <f>VLOOKUP(A8,'[1]2_MEDLEAPR_MLC'!B:I,6,0)</f>
        <v>100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88.81</v>
      </c>
      <c r="G8" s="8">
        <f>VLOOKUP(A8,'[1]6_CCTNS_1_7'!B:P,13,0)</f>
        <v>71.36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96.561604584527217</v>
      </c>
      <c r="L8" s="8">
        <f>VLOOKUP(A8,'[1]11_CEIR'!B:L,10,0)</f>
        <v>0</v>
      </c>
      <c r="M8" s="8">
        <f>VLOOKUP(A8,'[1]12_EPROSEC'!B:H,4,0)</f>
        <v>100</v>
      </c>
      <c r="N8" s="8">
        <f>VLOOKUP(A8,'[1]13_FIR_CS_COURT'!B:L,11,0)</f>
        <v>84.037131416090276</v>
      </c>
      <c r="O8" s="8">
        <f>VLOOKUP(A8,'[1]14_EOFFICE'!B:K,9,0)</f>
        <v>0</v>
      </c>
      <c r="P8" s="8">
        <f>VLOOKUP(A8,'[1]15_APOLIS'!B:K,10,0)</f>
        <v>95</v>
      </c>
      <c r="Q8" s="8">
        <f>VLOOKUP(A8,'[1]16_APOLICE_FP'!B:H,5,0)</f>
        <v>0</v>
      </c>
      <c r="R8" s="8">
        <f>VLOOKUP(A8,'[1]17_EDAR'!B:F,4,0)</f>
        <v>100</v>
      </c>
      <c r="S8" s="8">
        <f>VLOOKUP(A8,'[1]18_CCTV_360'!B:S,17,0)</f>
        <v>50</v>
      </c>
      <c r="T8" s="8">
        <f>VLOOKUP(A8,'[1]19_NEWS360AI'!B:D,2,0)</f>
        <v>0</v>
      </c>
      <c r="U8" s="8">
        <f>VLOOKUP(A8,'[1]20_eFSL'!B:F,4,0)</f>
        <v>100</v>
      </c>
      <c r="V8" s="8">
        <f>VLOOKUP(A8,'[1]21_UC3'!B:D,2,0)</f>
        <v>0</v>
      </c>
      <c r="W8" s="8">
        <f>VLOOKUP(A8,'[1]22_UC4'!B:D,3,0)</f>
        <v>0</v>
      </c>
    </row>
    <row r="9" spans="1:23" s="9" customFormat="1" ht="26.15" customHeight="1" x14ac:dyDescent="0.35">
      <c r="A9" s="7" t="s">
        <v>30</v>
      </c>
      <c r="B9" s="8">
        <f>VLOOKUP(A9,'[1]1_MEDLEAPR_PME'!B:H,6,0)</f>
        <v>100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100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97.297297297297291</v>
      </c>
      <c r="L9" s="8">
        <f>VLOOKUP(A9,'[1]11_CEIR'!B:L,10,0)</f>
        <v>0</v>
      </c>
      <c r="M9" s="8">
        <f>VLOOKUP(A9,'[1]12_EPROSEC'!B:H,4,0)</f>
        <v>100</v>
      </c>
      <c r="N9" s="8">
        <f>VLOOKUP(A9,'[1]13_FIR_CS_COURT'!B:L,11,0)</f>
        <v>82.74385703648548</v>
      </c>
      <c r="O9" s="8">
        <f>VLOOKUP(A9,'[1]14_EOFFICE'!B:K,9,0)</f>
        <v>0</v>
      </c>
      <c r="P9" s="8">
        <f>VLOOKUP(A9,'[1]15_APOLIS'!B:K,10,0)</f>
        <v>94.444444444444443</v>
      </c>
      <c r="Q9" s="8">
        <f>VLOOKUP(A9,'[1]16_APOLICE_FP'!B:H,5,0)</f>
        <v>0</v>
      </c>
      <c r="R9" s="8">
        <f>VLOOKUP(A9,'[1]17_EDAR'!B:F,4,0)</f>
        <v>100</v>
      </c>
      <c r="S9" s="8">
        <f>VLOOKUP(A9,'[1]18_CCTV_360'!B:S,17,0)</f>
        <v>50</v>
      </c>
      <c r="T9" s="8">
        <f>VLOOKUP(A9,'[1]19_NEWS360AI'!B:D,2,0)</f>
        <v>0</v>
      </c>
      <c r="U9" s="8">
        <f>VLOOKUP(A9,'[1]20_eFSL'!B:F,4,0)</f>
        <v>100</v>
      </c>
      <c r="V9" s="8">
        <f>VLOOKUP(A9,'[1]21_UC3'!B:D,2,0)</f>
        <v>0</v>
      </c>
      <c r="W9" s="8">
        <f>VLOOKUP(A9,'[1]22_UC4'!B:D,3,0)</f>
        <v>0</v>
      </c>
    </row>
    <row r="10" spans="1:23" s="9" customFormat="1" ht="26.15" customHeight="1" x14ac:dyDescent="0.35">
      <c r="A10" s="7" t="s">
        <v>31</v>
      </c>
      <c r="B10" s="8">
        <f>VLOOKUP(A10,'[1]1_MEDLEAPR_PME'!B:H,6,0)</f>
        <v>100</v>
      </c>
      <c r="C10" s="8" t="str">
        <f>VLOOKUP(A10,'[1]2_MEDLEAPR_MLC'!B:I,6,0)</f>
        <v>100.00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92.95</v>
      </c>
      <c r="G10" s="8">
        <f>VLOOKUP(A10,'[1]6_CCTNS_1_7'!B:P,13,0)</f>
        <v>67.67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70.73906485671192</v>
      </c>
      <c r="L10" s="8">
        <f>VLOOKUP(A10,'[1]11_CEIR'!B:L,10,0)</f>
        <v>0</v>
      </c>
      <c r="M10" s="8">
        <f>VLOOKUP(A10,'[1]12_EPROSEC'!B:H,4,0)</f>
        <v>100</v>
      </c>
      <c r="N10" s="8">
        <f>VLOOKUP(A10,'[1]13_FIR_CS_COURT'!B:L,11,0)</f>
        <v>82.956451612903223</v>
      </c>
      <c r="O10" s="8">
        <f>VLOOKUP(A10,'[1]14_EOFFICE'!B:K,9,0)</f>
        <v>0</v>
      </c>
      <c r="P10" s="8">
        <f>VLOOKUP(A10,'[1]15_APOLIS'!B:K,10,0)</f>
        <v>97.5</v>
      </c>
      <c r="Q10" s="8">
        <f>VLOOKUP(A10,'[1]16_APOLICE_FP'!B:H,5,0)</f>
        <v>0</v>
      </c>
      <c r="R10" s="8">
        <f>VLOOKUP(A10,'[1]17_EDAR'!B:F,4,0)</f>
        <v>100</v>
      </c>
      <c r="S10" s="8">
        <f>VLOOKUP(A10,'[1]18_CCTV_360'!B:S,17,0)</f>
        <v>100</v>
      </c>
      <c r="T10" s="8">
        <f>VLOOKUP(A10,'[1]19_NEWS360AI'!B:D,2,0)</f>
        <v>0</v>
      </c>
      <c r="U10" s="8">
        <f>VLOOKUP(A10,'[1]20_eFSL'!B:F,4,0)</f>
        <v>100</v>
      </c>
      <c r="V10" s="8">
        <f>VLOOKUP(A10,'[1]21_UC3'!B:D,2,0)</f>
        <v>0</v>
      </c>
      <c r="W10" s="8">
        <f>VLOOKUP(A10,'[1]22_UC4'!B:D,3,0)</f>
        <v>0</v>
      </c>
    </row>
    <row r="11" spans="1:23" s="9" customFormat="1" ht="26.15" customHeight="1" x14ac:dyDescent="0.35">
      <c r="A11" s="7" t="s">
        <v>32</v>
      </c>
      <c r="B11" s="8" t="str">
        <f>VLOOKUP(A11,'[1]1_MEDLEAPR_PME'!B:H,6,0)</f>
        <v>100.00</v>
      </c>
      <c r="C11" s="8">
        <f>VLOOKUP(A11,'[1]2_MEDLEAPR_MLC'!B:I,6,0)</f>
        <v>100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86.99</v>
      </c>
      <c r="G11" s="8">
        <f>VLOOKUP(A11,'[1]6_CCTNS_1_7'!B:P,13,0)</f>
        <v>94.33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84.401114206128128</v>
      </c>
      <c r="L11" s="8">
        <f>VLOOKUP(A11,'[1]11_CEIR'!B:L,10,0)</f>
        <v>0</v>
      </c>
      <c r="M11" s="8">
        <f>VLOOKUP(A11,'[1]12_EPROSEC'!B:H,4,0)</f>
        <v>100</v>
      </c>
      <c r="N11" s="8">
        <f>VLOOKUP(A11,'[1]13_FIR_CS_COURT'!B:L,11,0)</f>
        <v>77.562253264500455</v>
      </c>
      <c r="O11" s="8">
        <f>VLOOKUP(A11,'[1]14_EOFFICE'!B:K,9,0)</f>
        <v>0</v>
      </c>
      <c r="P11" s="8">
        <f>VLOOKUP(A11,'[1]15_APOLIS'!B:K,10,0)</f>
        <v>95</v>
      </c>
      <c r="Q11" s="8">
        <f>VLOOKUP(A11,'[1]16_APOLICE_FP'!B:H,5,0)</f>
        <v>0</v>
      </c>
      <c r="R11" s="8">
        <f>VLOOKUP(A11,'[1]17_EDAR'!B:F,4,0)</f>
        <v>100</v>
      </c>
      <c r="S11" s="8">
        <f>VLOOKUP(A11,'[1]18_CCTV_360'!B:S,17,0)</f>
        <v>100</v>
      </c>
      <c r="T11" s="8">
        <f>VLOOKUP(A11,'[1]19_NEWS360AI'!B:D,2,0)</f>
        <v>0</v>
      </c>
      <c r="U11" s="8">
        <f>VLOOKUP(A11,'[1]20_eFSL'!B:F,4,0)</f>
        <v>100</v>
      </c>
      <c r="V11" s="8">
        <f>VLOOKUP(A11,'[1]21_UC3'!B:D,2,0)</f>
        <v>0</v>
      </c>
      <c r="W11" s="8">
        <f>VLOOKUP(A11,'[1]22_UC4'!B:D,3,0)</f>
        <v>0</v>
      </c>
    </row>
    <row r="12" spans="1:23" s="9" customFormat="1" ht="26.15" customHeight="1" x14ac:dyDescent="0.35">
      <c r="A12" s="7" t="s">
        <v>33</v>
      </c>
      <c r="B12" s="8" t="str">
        <f>VLOOKUP(A12,'[1]1_MEDLEAPR_PME'!B:H,6,0)</f>
        <v>100.00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100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62.357414448669203</v>
      </c>
      <c r="L12" s="8">
        <f>VLOOKUP(A12,'[1]11_CEIR'!B:L,10,0)</f>
        <v>0</v>
      </c>
      <c r="M12" s="8">
        <f>VLOOKUP(A12,'[1]12_EPROSEC'!B:H,4,0)</f>
        <v>100</v>
      </c>
      <c r="N12" s="8">
        <f>VLOOKUP(A12,'[1]13_FIR_CS_COURT'!B:L,11,0)</f>
        <v>77.240249098656165</v>
      </c>
      <c r="O12" s="8">
        <f>VLOOKUP(A12,'[1]14_EOFFICE'!B:K,9,0)</f>
        <v>0</v>
      </c>
      <c r="P12" s="8">
        <f>VLOOKUP(A12,'[1]15_APOLIS'!B:K,10,0)</f>
        <v>95</v>
      </c>
      <c r="Q12" s="8">
        <f>VLOOKUP(A12,'[1]16_APOLICE_FP'!B:H,5,0)</f>
        <v>0</v>
      </c>
      <c r="R12" s="8">
        <f>VLOOKUP(A12,'[1]17_EDAR'!B:F,4,0)</f>
        <v>100</v>
      </c>
      <c r="S12" s="8">
        <f>VLOOKUP(A12,'[1]18_CCTV_360'!B:S,17,0)</f>
        <v>100</v>
      </c>
      <c r="T12" s="8">
        <f>VLOOKUP(A12,'[1]19_NEWS360AI'!B:D,2,0)</f>
        <v>0</v>
      </c>
      <c r="U12" s="8">
        <f>VLOOKUP(A12,'[1]20_eFSL'!B:F,4,0)</f>
        <v>100</v>
      </c>
      <c r="V12" s="8">
        <f>VLOOKUP(A12,'[1]21_UC3'!B:D,2,0)</f>
        <v>0</v>
      </c>
      <c r="W12" s="8">
        <f>VLOOKUP(A12,'[1]22_UC4'!B:D,3,0)</f>
        <v>0</v>
      </c>
    </row>
    <row r="13" spans="1:23" s="9" customFormat="1" ht="26.15" customHeight="1" x14ac:dyDescent="0.35">
      <c r="A13" s="7" t="s">
        <v>34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88.15</v>
      </c>
      <c r="G13" s="8">
        <f>VLOOKUP(A13,'[1]6_CCTNS_1_7'!B:P,13,0)</f>
        <v>100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88.888888888888886</v>
      </c>
      <c r="L13" s="8">
        <f>VLOOKUP(A13,'[1]11_CEIR'!B:L,10,0)</f>
        <v>0</v>
      </c>
      <c r="M13" s="8">
        <f>VLOOKUP(A13,'[1]12_EPROSEC'!B:H,4,0)</f>
        <v>100</v>
      </c>
      <c r="N13" s="8">
        <f>VLOOKUP(A13,'[1]13_FIR_CS_COURT'!B:L,11,0)</f>
        <v>82.106537530266337</v>
      </c>
      <c r="O13" s="8">
        <f>VLOOKUP(A13,'[1]14_EOFFICE'!B:K,9,0)</f>
        <v>0</v>
      </c>
      <c r="P13" s="8">
        <f>VLOOKUP(A13,'[1]15_APOLIS'!B:K,10,0)</f>
        <v>93.75</v>
      </c>
      <c r="Q13" s="8">
        <f>VLOOKUP(A13,'[1]16_APOLICE_FP'!B:H,5,0)</f>
        <v>0</v>
      </c>
      <c r="R13" s="8">
        <f>VLOOKUP(A13,'[1]17_EDAR'!B:F,4,0)</f>
        <v>100</v>
      </c>
      <c r="S13" s="8">
        <f>VLOOKUP(A13,'[1]18_CCTV_360'!B:S,17,0)</f>
        <v>50</v>
      </c>
      <c r="T13" s="8">
        <f>VLOOKUP(A13,'[1]19_NEWS360AI'!B:D,2,0)</f>
        <v>0</v>
      </c>
      <c r="U13" s="8">
        <f>VLOOKUP(A13,'[1]20_eFSL'!B:F,4,0)</f>
        <v>100</v>
      </c>
      <c r="V13" s="8">
        <f>VLOOKUP(A13,'[1]21_UC3'!B:D,2,0)</f>
        <v>0</v>
      </c>
      <c r="W13" s="8">
        <f>VLOOKUP(A13,'[1]22_UC4'!B:D,3,0)</f>
        <v>0</v>
      </c>
    </row>
    <row r="14" spans="1:23" s="9" customFormat="1" ht="26.15" customHeight="1" x14ac:dyDescent="0.35">
      <c r="A14" s="7" t="s">
        <v>35</v>
      </c>
      <c r="B14" s="8" t="str">
        <f>VLOOKUP(A14,'[1]1_MEDLEAPR_PME'!B:H,6,0)</f>
        <v>100.00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99.39</v>
      </c>
      <c r="G14" s="8">
        <f>VLOOKUP(A14,'[1]6_CCTNS_1_7'!B:P,13,0)</f>
        <v>98.43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72.881355932203391</v>
      </c>
      <c r="L14" s="8">
        <f>VLOOKUP(A14,'[1]11_CEIR'!B:L,10,0)</f>
        <v>0</v>
      </c>
      <c r="M14" s="8">
        <f>VLOOKUP(A14,'[1]12_EPROSEC'!B:H,4,0)</f>
        <v>100</v>
      </c>
      <c r="N14" s="8">
        <f>VLOOKUP(A14,'[1]13_FIR_CS_COURT'!B:L,11,0)</f>
        <v>77.634408602150529</v>
      </c>
      <c r="O14" s="8">
        <f>VLOOKUP(A14,'[1]14_EOFFICE'!B:K,9,0)</f>
        <v>0</v>
      </c>
      <c r="P14" s="8">
        <f>VLOOKUP(A14,'[1]15_APOLIS'!B:K,10,0)</f>
        <v>95</v>
      </c>
      <c r="Q14" s="8">
        <f>VLOOKUP(A14,'[1]16_APOLICE_FP'!B:H,5,0)</f>
        <v>0</v>
      </c>
      <c r="R14" s="8">
        <f>VLOOKUP(A14,'[1]17_EDAR'!B:F,4,0)</f>
        <v>100</v>
      </c>
      <c r="S14" s="8">
        <f>VLOOKUP(A14,'[1]18_CCTV_360'!B:S,17,0)</f>
        <v>50</v>
      </c>
      <c r="T14" s="8">
        <f>VLOOKUP(A14,'[1]19_NEWS360AI'!B:D,2,0)</f>
        <v>0</v>
      </c>
      <c r="U14" s="8">
        <f>VLOOKUP(A14,'[1]20_eFSL'!B:F,4,0)</f>
        <v>100</v>
      </c>
      <c r="V14" s="8">
        <f>VLOOKUP(A14,'[1]21_UC3'!B:D,2,0)</f>
        <v>0</v>
      </c>
      <c r="W14" s="8">
        <f>VLOOKUP(A14,'[1]22_UC4'!B:D,3,0)</f>
        <v>0</v>
      </c>
    </row>
    <row r="15" spans="1:23" s="9" customFormat="1" ht="26.15" customHeight="1" x14ac:dyDescent="0.35">
      <c r="A15" s="7" t="s">
        <v>36</v>
      </c>
      <c r="B15" s="8" t="str">
        <f>VLOOKUP(A15,'[1]1_MEDLEAPR_PME'!B:H,6,0)</f>
        <v>100.00</v>
      </c>
      <c r="C15" s="8" t="str">
        <f>VLOOKUP(A15,'[1]2_MEDLEAPR_MLC'!B:I,6,0)</f>
        <v>100.00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100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61.329305135951664</v>
      </c>
      <c r="L15" s="8">
        <f>VLOOKUP(A15,'[1]11_CEIR'!B:L,10,0)</f>
        <v>0</v>
      </c>
      <c r="M15" s="8">
        <f>VLOOKUP(A15,'[1]12_EPROSEC'!B:H,4,0)</f>
        <v>100</v>
      </c>
      <c r="N15" s="8">
        <f>VLOOKUP(A15,'[1]13_FIR_CS_COURT'!B:L,11,0)</f>
        <v>69.276889841521665</v>
      </c>
      <c r="O15" s="8">
        <f>VLOOKUP(A15,'[1]14_EOFFICE'!B:K,9,0)</f>
        <v>0</v>
      </c>
      <c r="P15" s="8">
        <f>VLOOKUP(A15,'[1]15_APOLIS'!B:K,10,0)</f>
        <v>97.5</v>
      </c>
      <c r="Q15" s="8">
        <f>VLOOKUP(A15,'[1]16_APOLICE_FP'!B:H,5,0)</f>
        <v>0</v>
      </c>
      <c r="R15" s="8">
        <f>VLOOKUP(A15,'[1]17_EDAR'!B:F,4,0)</f>
        <v>100</v>
      </c>
      <c r="S15" s="8">
        <f>VLOOKUP(A15,'[1]18_CCTV_360'!B:S,17,0)</f>
        <v>100</v>
      </c>
      <c r="T15" s="8">
        <f>VLOOKUP(A15,'[1]19_NEWS360AI'!B:D,2,0)</f>
        <v>0</v>
      </c>
      <c r="U15" s="8">
        <f>VLOOKUP(A15,'[1]20_eFSL'!B:F,4,0)</f>
        <v>100</v>
      </c>
      <c r="V15" s="8">
        <f>VLOOKUP(A15,'[1]21_UC3'!B:D,2,0)</f>
        <v>0</v>
      </c>
      <c r="W15" s="8">
        <f>VLOOKUP(A15,'[1]22_UC4'!B:D,3,0)</f>
        <v>0</v>
      </c>
    </row>
    <row r="16" spans="1:23" s="9" customFormat="1" ht="26.15" customHeight="1" x14ac:dyDescent="0.35">
      <c r="A16" s="7" t="s">
        <v>37</v>
      </c>
      <c r="B16" s="8" t="str">
        <f>VLOOKUP(A16,'[1]1_MEDLEAPR_PME'!B:H,6,0)</f>
        <v>100.00</v>
      </c>
      <c r="C16" s="8">
        <f>VLOOKUP(A16,'[1]2_MEDLEAPR_MLC'!B:I,6,0)</f>
        <v>100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91.6</v>
      </c>
      <c r="G16" s="8">
        <f>VLOOKUP(A16,'[1]6_CCTNS_1_7'!B:P,13,0)</f>
        <v>86.13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99.34210526315789</v>
      </c>
      <c r="L16" s="8">
        <f>VLOOKUP(A16,'[1]11_CEIR'!B:L,10,0)</f>
        <v>0</v>
      </c>
      <c r="M16" s="8">
        <f>VLOOKUP(A16,'[1]12_EPROSEC'!B:H,4,0)</f>
        <v>100</v>
      </c>
      <c r="N16" s="8">
        <f>VLOOKUP(A16,'[1]13_FIR_CS_COURT'!B:L,11,0)</f>
        <v>74.677812608847091</v>
      </c>
      <c r="O16" s="8">
        <f>VLOOKUP(A16,'[1]14_EOFFICE'!B:K,9,0)</f>
        <v>0</v>
      </c>
      <c r="P16" s="8">
        <f>VLOOKUP(A16,'[1]15_APOLIS'!B:K,10,0)</f>
        <v>95</v>
      </c>
      <c r="Q16" s="8">
        <f>VLOOKUP(A16,'[1]16_APOLICE_FP'!B:H,5,0)</f>
        <v>0</v>
      </c>
      <c r="R16" s="8">
        <f>VLOOKUP(A16,'[1]17_EDAR'!B:F,4,0)</f>
        <v>100</v>
      </c>
      <c r="S16" s="8">
        <f>VLOOKUP(A16,'[1]18_CCTV_360'!B:S,17,0)</f>
        <v>100</v>
      </c>
      <c r="T16" s="8">
        <f>VLOOKUP(A16,'[1]19_NEWS360AI'!B:D,2,0)</f>
        <v>0</v>
      </c>
      <c r="U16" s="8">
        <f>VLOOKUP(A16,'[1]20_eFSL'!B:F,4,0)</f>
        <v>100</v>
      </c>
      <c r="V16" s="8">
        <f>VLOOKUP(A16,'[1]21_UC3'!B:D,2,0)</f>
        <v>0</v>
      </c>
      <c r="W16" s="8">
        <f>VLOOKUP(A16,'[1]22_UC4'!B:D,3,0)</f>
        <v>0</v>
      </c>
    </row>
    <row r="17" spans="1:23" s="9" customFormat="1" ht="26.15" customHeight="1" x14ac:dyDescent="0.35">
      <c r="A17" s="7" t="s">
        <v>38</v>
      </c>
      <c r="B17" s="8" t="str">
        <f>VLOOKUP(A17,'[1]1_MEDLEAPR_PME'!B:H,6,0)</f>
        <v>100.00</v>
      </c>
      <c r="C17" s="8" t="str">
        <f>VLOOKUP(A17,'[1]2_MEDLEAPR_MLC'!B:I,6,0)</f>
        <v>100.00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97.36</v>
      </c>
      <c r="G17" s="8">
        <f>VLOOKUP(A17,'[1]6_CCTNS_1_7'!B:P,13,0)</f>
        <v>100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52.331606217616581</v>
      </c>
      <c r="L17" s="8">
        <f>VLOOKUP(A17,'[1]11_CEIR'!B:L,10,0)</f>
        <v>0</v>
      </c>
      <c r="M17" s="8">
        <f>VLOOKUP(A17,'[1]12_EPROSEC'!B:H,4,0)</f>
        <v>100</v>
      </c>
      <c r="N17" s="8">
        <f>VLOOKUP(A17,'[1]13_FIR_CS_COURT'!B:L,11,0)</f>
        <v>76.972130373169577</v>
      </c>
      <c r="O17" s="8">
        <f>VLOOKUP(A17,'[1]14_EOFFICE'!B:K,9,0)</f>
        <v>0</v>
      </c>
      <c r="P17" s="8">
        <f>VLOOKUP(A17,'[1]15_APOLIS'!B:K,10,0)</f>
        <v>93.75</v>
      </c>
      <c r="Q17" s="8">
        <f>VLOOKUP(A17,'[1]16_APOLICE_FP'!B:H,5,0)</f>
        <v>0</v>
      </c>
      <c r="R17" s="8">
        <f>VLOOKUP(A17,'[1]17_EDAR'!B:F,4,0)</f>
        <v>100</v>
      </c>
      <c r="S17" s="8">
        <f>VLOOKUP(A17,'[1]18_CCTV_360'!B:S,17,0)</f>
        <v>50</v>
      </c>
      <c r="T17" s="8">
        <f>VLOOKUP(A17,'[1]19_NEWS360AI'!B:D,2,0)</f>
        <v>0</v>
      </c>
      <c r="U17" s="8">
        <f>VLOOKUP(A17,'[1]20_eFSL'!B:F,4,0)</f>
        <v>100</v>
      </c>
      <c r="V17" s="8">
        <f>VLOOKUP(A17,'[1]21_UC3'!B:D,2,0)</f>
        <v>0</v>
      </c>
      <c r="W17" s="8">
        <f>VLOOKUP(A17,'[1]22_UC4'!B:D,3,0)</f>
        <v>0</v>
      </c>
    </row>
    <row r="18" spans="1:23" s="9" customFormat="1" ht="26.15" customHeight="1" x14ac:dyDescent="0.35">
      <c r="A18" s="7" t="s">
        <v>39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33.802816901408448</v>
      </c>
      <c r="L18" s="8">
        <f>VLOOKUP(A18,'[1]11_CEIR'!B:L,10,0)</f>
        <v>0</v>
      </c>
      <c r="M18" s="8">
        <f>VLOOKUP(A18,'[1]12_EPROSEC'!B:H,4,0)</f>
        <v>100</v>
      </c>
      <c r="N18" s="8">
        <f>VLOOKUP(A18,'[1]13_FIR_CS_COURT'!B:L,11,0)</f>
        <v>74.82014388489209</v>
      </c>
      <c r="O18" s="8">
        <f>VLOOKUP(A18,'[1]14_EOFFICE'!B:K,9,0)</f>
        <v>0</v>
      </c>
      <c r="P18" s="8">
        <f>VLOOKUP(A18,'[1]15_APOLIS'!B:K,10,0)</f>
        <v>91.666666666666671</v>
      </c>
      <c r="Q18" s="8">
        <f>VLOOKUP(A18,'[1]16_APOLICE_FP'!B:H,5,0)</f>
        <v>0</v>
      </c>
      <c r="R18" s="8">
        <f>VLOOKUP(A18,'[1]17_EDAR'!B:F,4,0)</f>
        <v>100</v>
      </c>
      <c r="S18" s="8">
        <f>VLOOKUP(A18,'[1]18_CCTV_360'!B:S,17,0)</f>
        <v>100</v>
      </c>
      <c r="T18" s="8">
        <f>VLOOKUP(A18,'[1]19_NEWS360AI'!B:D,2,0)</f>
        <v>0</v>
      </c>
      <c r="U18" s="8">
        <f>VLOOKUP(A18,'[1]20_eFSL'!B:F,4,0)</f>
        <v>100</v>
      </c>
      <c r="V18" s="8">
        <f>VLOOKUP(A18,'[1]21_UC3'!B:D,2,0)</f>
        <v>0</v>
      </c>
      <c r="W18" s="8">
        <f>VLOOKUP(A18,'[1]22_UC4'!B:D,3,0)</f>
        <v>0</v>
      </c>
    </row>
    <row r="19" spans="1:23" s="9" customFormat="1" ht="26.15" customHeight="1" x14ac:dyDescent="0.35">
      <c r="A19" s="7" t="s">
        <v>40</v>
      </c>
      <c r="B19" s="8">
        <f>VLOOKUP(A19,'[1]1_MEDLEAPR_PME'!B:H,6,0)</f>
        <v>100</v>
      </c>
      <c r="C19" s="8">
        <f>VLOOKUP(A19,'[1]2_MEDLEAPR_MLC'!B:I,6,0)</f>
        <v>100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99</v>
      </c>
      <c r="G19" s="8">
        <f>VLOOKUP(A19,'[1]6_CCTNS_1_7'!B:P,13,0)</f>
        <v>66.44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75.959079283887462</v>
      </c>
      <c r="L19" s="8">
        <f>VLOOKUP(A19,'[1]11_CEIR'!B:L,10,0)</f>
        <v>0</v>
      </c>
      <c r="M19" s="8">
        <f>VLOOKUP(A19,'[1]12_EPROSEC'!B:H,4,0)</f>
        <v>100</v>
      </c>
      <c r="N19" s="8">
        <f>VLOOKUP(A19,'[1]13_FIR_CS_COURT'!B:L,11,0)</f>
        <v>85.250590396221469</v>
      </c>
      <c r="O19" s="8">
        <f>VLOOKUP(A19,'[1]14_EOFFICE'!B:K,9,0)</f>
        <v>0</v>
      </c>
      <c r="P19" s="8">
        <f>VLOOKUP(A19,'[1]15_APOLIS'!B:K,10,0)</f>
        <v>95.833333333333343</v>
      </c>
      <c r="Q19" s="8">
        <f>VLOOKUP(A19,'[1]16_APOLICE_FP'!B:H,5,0)</f>
        <v>0</v>
      </c>
      <c r="R19" s="8">
        <f>VLOOKUP(A19,'[1]17_EDAR'!B:F,4,0)</f>
        <v>100</v>
      </c>
      <c r="S19" s="8">
        <f>VLOOKUP(A19,'[1]18_CCTV_360'!B:S,17,0)</f>
        <v>50</v>
      </c>
      <c r="T19" s="8">
        <f>VLOOKUP(A19,'[1]19_NEWS360AI'!B:D,2,0)</f>
        <v>0</v>
      </c>
      <c r="U19" s="8">
        <f>VLOOKUP(A19,'[1]20_eFSL'!B:F,4,0)</f>
        <v>100</v>
      </c>
      <c r="V19" s="8">
        <f>VLOOKUP(A19,'[1]21_UC3'!B:D,2,0)</f>
        <v>0</v>
      </c>
      <c r="W19" s="8">
        <f>VLOOKUP(A19,'[1]22_UC4'!B:D,3,0)</f>
        <v>0</v>
      </c>
    </row>
    <row r="20" spans="1:23" s="9" customFormat="1" ht="26.15" customHeight="1" x14ac:dyDescent="0.35">
      <c r="A20" s="7" t="s">
        <v>41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97.22</v>
      </c>
      <c r="G20" s="8">
        <f>VLOOKUP(A20,'[1]6_CCTNS_1_7'!B:P,13,0)</f>
        <v>67.67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51.376146788990823</v>
      </c>
      <c r="L20" s="8">
        <f>VLOOKUP(A20,'[1]11_CEIR'!B:L,10,0)</f>
        <v>0</v>
      </c>
      <c r="M20" s="8">
        <f>VLOOKUP(A20,'[1]12_EPROSEC'!B:H,4,0)</f>
        <v>100</v>
      </c>
      <c r="N20" s="8">
        <f>VLOOKUP(A20,'[1]13_FIR_CS_COURT'!B:L,11,0)</f>
        <v>68.891402714932127</v>
      </c>
      <c r="O20" s="8">
        <f>VLOOKUP(A20,'[1]14_EOFFICE'!B:K,9,0)</f>
        <v>0</v>
      </c>
      <c r="P20" s="8">
        <f>VLOOKUP(A20,'[1]15_APOLIS'!B:K,10,0)</f>
        <v>95.833333333333343</v>
      </c>
      <c r="Q20" s="8">
        <f>VLOOKUP(A20,'[1]16_APOLICE_FP'!B:H,5,0)</f>
        <v>0</v>
      </c>
      <c r="R20" s="8">
        <f>VLOOKUP(A20,'[1]17_EDAR'!B:F,4,0)</f>
        <v>100</v>
      </c>
      <c r="S20" s="8">
        <f>VLOOKUP(A20,'[1]18_CCTV_360'!B:S,17,0)</f>
        <v>100</v>
      </c>
      <c r="T20" s="8">
        <f>VLOOKUP(A20,'[1]19_NEWS360AI'!B:D,2,0)</f>
        <v>0</v>
      </c>
      <c r="U20" s="8">
        <f>VLOOKUP(A20,'[1]20_eFSL'!B:F,4,0)</f>
        <v>100</v>
      </c>
      <c r="V20" s="8">
        <f>VLOOKUP(A20,'[1]21_UC3'!B:D,2,0)</f>
        <v>0</v>
      </c>
      <c r="W20" s="8">
        <f>VLOOKUP(A20,'[1]22_UC4'!B:D,3,0)</f>
        <v>0</v>
      </c>
    </row>
    <row r="21" spans="1:23" s="9" customFormat="1" ht="26.15" customHeight="1" x14ac:dyDescent="0.35">
      <c r="A21" s="7" t="s">
        <v>42</v>
      </c>
      <c r="B21" s="8" t="str">
        <f>VLOOKUP(A21,'[1]1_MEDLEAPR_PME'!B:H,6,0)</f>
        <v>100.00</v>
      </c>
      <c r="C21" s="8" t="str">
        <f>VLOOKUP(A21,'[1]2_MEDLEAPR_MLC'!B:I,6,0)</f>
        <v>100.00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100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98.204667863554761</v>
      </c>
      <c r="L21" s="8">
        <f>VLOOKUP(A21,'[1]11_CEIR'!B:L,10,0)</f>
        <v>0</v>
      </c>
      <c r="M21" s="8">
        <f>VLOOKUP(A21,'[1]12_EPROSEC'!B:H,4,0)</f>
        <v>0</v>
      </c>
      <c r="N21" s="8">
        <f>VLOOKUP(A21,'[1]13_FIR_CS_COURT'!B:L,11,0)</f>
        <v>83.823463453286891</v>
      </c>
      <c r="O21" s="8">
        <f>VLOOKUP(A21,'[1]14_EOFFICE'!B:K,9,0)</f>
        <v>0</v>
      </c>
      <c r="P21" s="8">
        <f>VLOOKUP(A21,'[1]15_APOLIS'!B:K,10,0)</f>
        <v>97.5</v>
      </c>
      <c r="Q21" s="8">
        <f>VLOOKUP(A21,'[1]16_APOLICE_FP'!B:H,5,0)</f>
        <v>0</v>
      </c>
      <c r="R21" s="8">
        <f>VLOOKUP(A21,'[1]17_EDAR'!B:F,4,0)</f>
        <v>100</v>
      </c>
      <c r="S21" s="8">
        <f>VLOOKUP(A21,'[1]18_CCTV_360'!B:S,17,0)</f>
        <v>100</v>
      </c>
      <c r="T21" s="8">
        <f>VLOOKUP(A21,'[1]19_NEWS360AI'!B:D,2,0)</f>
        <v>0</v>
      </c>
      <c r="U21" s="8">
        <f>VLOOKUP(A21,'[1]20_eFSL'!B:F,4,0)</f>
        <v>100</v>
      </c>
      <c r="V21" s="8">
        <f>VLOOKUP(A21,'[1]21_UC3'!B:D,2,0)</f>
        <v>0</v>
      </c>
      <c r="W21" s="8">
        <f>VLOOKUP(A21,'[1]22_UC4'!B:D,3,0)</f>
        <v>0</v>
      </c>
    </row>
    <row r="22" spans="1:23" s="9" customFormat="1" ht="26.15" customHeight="1" x14ac:dyDescent="0.35">
      <c r="A22" s="7" t="s">
        <v>43</v>
      </c>
      <c r="B22" s="8">
        <f>VLOOKUP(A22,'[1]1_MEDLEAPR_PME'!B:H,6,0)</f>
        <v>100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100</v>
      </c>
      <c r="G22" s="8">
        <f>VLOOKUP(A22,'[1]6_CCTNS_1_7'!B:P,13,0)</f>
        <v>86.13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72.444444444444443</v>
      </c>
      <c r="L22" s="8">
        <f>VLOOKUP(A22,'[1]11_CEIR'!B:L,10,0)</f>
        <v>0</v>
      </c>
      <c r="M22" s="8">
        <f>VLOOKUP(A22,'[1]12_EPROSEC'!B:H,4,0)</f>
        <v>100</v>
      </c>
      <c r="N22" s="8">
        <f>VLOOKUP(A22,'[1]13_FIR_CS_COURT'!B:L,11,0)</f>
        <v>75.8125</v>
      </c>
      <c r="O22" s="8">
        <f>VLOOKUP(A22,'[1]14_EOFFICE'!B:K,9,0)</f>
        <v>0</v>
      </c>
      <c r="P22" s="8">
        <f>VLOOKUP(A22,'[1]15_APOLIS'!B:K,10,0)</f>
        <v>95.833333333333343</v>
      </c>
      <c r="Q22" s="8">
        <f>VLOOKUP(A22,'[1]16_APOLICE_FP'!B:H,5,0)</f>
        <v>0</v>
      </c>
      <c r="R22" s="8">
        <f>VLOOKUP(A22,'[1]17_EDAR'!B:F,4,0)</f>
        <v>100</v>
      </c>
      <c r="S22" s="8">
        <f>VLOOKUP(A22,'[1]18_CCTV_360'!B:S,17,0)</f>
        <v>50</v>
      </c>
      <c r="T22" s="8">
        <f>VLOOKUP(A22,'[1]19_NEWS360AI'!B:D,2,0)</f>
        <v>0</v>
      </c>
      <c r="U22" s="8">
        <f>VLOOKUP(A22,'[1]20_eFSL'!B:F,4,0)</f>
        <v>100</v>
      </c>
      <c r="V22" s="8">
        <f>VLOOKUP(A22,'[1]21_UC3'!B:D,2,0)</f>
        <v>0</v>
      </c>
      <c r="W22" s="8">
        <f>VLOOKUP(A22,'[1]22_UC4'!B:D,3,0)</f>
        <v>0</v>
      </c>
    </row>
    <row r="23" spans="1:23" s="9" customFormat="1" ht="26.15" customHeight="1" x14ac:dyDescent="0.35">
      <c r="A23" s="7" t="s">
        <v>44</v>
      </c>
      <c r="B23" s="8">
        <f>VLOOKUP(A23,'[1]1_MEDLEAPR_PME'!B:H,6,0)</f>
        <v>100</v>
      </c>
      <c r="C23" s="8" t="str">
        <f>VLOOKUP(A23,'[1]2_MEDLEAPR_MLC'!B:I,6,0)</f>
        <v>100.00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83.6</v>
      </c>
      <c r="G23" s="8">
        <f>VLOOKUP(A23,'[1]6_CCTNS_1_7'!B:P,13,0)</f>
        <v>83.67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39.447731755424066</v>
      </c>
      <c r="L23" s="8">
        <f>VLOOKUP(A23,'[1]11_CEIR'!B:L,10,0)</f>
        <v>0</v>
      </c>
      <c r="M23" s="8">
        <f>VLOOKUP(A23,'[1]12_EPROSEC'!B:H,4,0)</f>
        <v>50</v>
      </c>
      <c r="N23" s="8">
        <f>VLOOKUP(A23,'[1]13_FIR_CS_COURT'!B:L,11,0)</f>
        <v>82.303113553113548</v>
      </c>
      <c r="O23" s="8">
        <f>VLOOKUP(A23,'[1]14_EOFFICE'!B:K,9,0)</f>
        <v>0</v>
      </c>
      <c r="P23" s="8">
        <f>VLOOKUP(A23,'[1]15_APOLIS'!B:K,10,0)</f>
        <v>98.148148148148152</v>
      </c>
      <c r="Q23" s="8">
        <f>VLOOKUP(A23,'[1]16_APOLICE_FP'!B:H,5,0)</f>
        <v>0</v>
      </c>
      <c r="R23" s="8">
        <f>VLOOKUP(A23,'[1]17_EDAR'!B:F,4,0)</f>
        <v>100</v>
      </c>
      <c r="S23" s="8">
        <f>VLOOKUP(A23,'[1]18_CCTV_360'!B:S,17,0)</f>
        <v>100</v>
      </c>
      <c r="T23" s="8">
        <f>VLOOKUP(A23,'[1]19_NEWS360AI'!B:D,2,0)</f>
        <v>0</v>
      </c>
      <c r="U23" s="8">
        <f>VLOOKUP(A23,'[1]20_eFSL'!B:F,4,0)</f>
        <v>100</v>
      </c>
      <c r="V23" s="8">
        <f>VLOOKUP(A23,'[1]21_UC3'!B:D,2,0)</f>
        <v>0</v>
      </c>
      <c r="W23" s="8">
        <f>VLOOKUP(A23,'[1]22_UC4'!B:D,3,0)</f>
        <v>0</v>
      </c>
    </row>
    <row r="24" spans="1:23" s="9" customFormat="1" ht="26.15" customHeight="1" x14ac:dyDescent="0.35">
      <c r="A24" s="7" t="s">
        <v>45</v>
      </c>
      <c r="B24" s="8">
        <f>VLOOKUP(A24,'[1]1_MEDLEAPR_PME'!B:H,6,0)</f>
        <v>100</v>
      </c>
      <c r="C24" s="8" t="str">
        <f>VLOOKUP(A24,'[1]2_MEDLEAPR_MLC'!B:I,6,0)</f>
        <v>100.00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82.9</v>
      </c>
      <c r="G24" s="8">
        <f>VLOOKUP(A24,'[1]6_CCTNS_1_7'!B:P,13,0)</f>
        <v>98.43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45.222929936305732</v>
      </c>
      <c r="L24" s="8">
        <f>VLOOKUP(A24,'[1]11_CEIR'!B:L,10,0)</f>
        <v>0</v>
      </c>
      <c r="M24" s="8">
        <f>VLOOKUP(A24,'[1]12_EPROSEC'!B:H,4,0)</f>
        <v>100</v>
      </c>
      <c r="N24" s="8">
        <f>VLOOKUP(A24,'[1]13_FIR_CS_COURT'!B:L,11,0)</f>
        <v>78.155637254901961</v>
      </c>
      <c r="O24" s="8">
        <f>VLOOKUP(A24,'[1]14_EOFFICE'!B:K,9,0)</f>
        <v>0</v>
      </c>
      <c r="P24" s="8">
        <f>VLOOKUP(A24,'[1]15_APOLIS'!B:K,10,0)</f>
        <v>95.833333333333343</v>
      </c>
      <c r="Q24" s="8">
        <f>VLOOKUP(A24,'[1]16_APOLICE_FP'!B:H,5,0)</f>
        <v>0</v>
      </c>
      <c r="R24" s="8">
        <f>VLOOKUP(A24,'[1]17_EDAR'!B:F,4,0)</f>
        <v>100</v>
      </c>
      <c r="S24" s="8">
        <f>VLOOKUP(A24,'[1]18_CCTV_360'!B:S,17,0)</f>
        <v>100</v>
      </c>
      <c r="T24" s="8">
        <f>VLOOKUP(A24,'[1]19_NEWS360AI'!B:D,2,0)</f>
        <v>0</v>
      </c>
      <c r="U24" s="8">
        <f>VLOOKUP(A24,'[1]20_eFSL'!B:F,4,0)</f>
        <v>100</v>
      </c>
      <c r="V24" s="8">
        <f>VLOOKUP(A24,'[1]21_UC3'!B:D,2,0)</f>
        <v>0</v>
      </c>
      <c r="W24" s="8">
        <f>VLOOKUP(A24,'[1]22_UC4'!B:D,3,0)</f>
        <v>0</v>
      </c>
    </row>
    <row r="25" spans="1:23" s="9" customFormat="1" ht="26.15" customHeight="1" x14ac:dyDescent="0.35">
      <c r="A25" s="7" t="s">
        <v>46</v>
      </c>
      <c r="B25" s="8">
        <f>VLOOKUP(A25,'[1]1_MEDLEAPR_PME'!B:H,6,0)</f>
        <v>100</v>
      </c>
      <c r="C25" s="8">
        <f>VLOOKUP(A25,'[1]2_MEDLEAPR_MLC'!B:I,6,0)</f>
        <v>100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84.37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38.916256157635466</v>
      </c>
      <c r="L25" s="8">
        <f>VLOOKUP(A25,'[1]11_CEIR'!B:L,10,0)</f>
        <v>0</v>
      </c>
      <c r="M25" s="8">
        <f>VLOOKUP(A25,'[1]12_EPROSEC'!B:H,4,0)</f>
        <v>0</v>
      </c>
      <c r="N25" s="8">
        <f>VLOOKUP(A25,'[1]13_FIR_CS_COURT'!B:L,11,0)</f>
        <v>68.089498361063846</v>
      </c>
      <c r="O25" s="8">
        <f>VLOOKUP(A25,'[1]14_EOFFICE'!B:K,9,0)</f>
        <v>0</v>
      </c>
      <c r="P25" s="8">
        <f>VLOOKUP(A25,'[1]15_APOLIS'!B:K,10,0)</f>
        <v>97.297297297297291</v>
      </c>
      <c r="Q25" s="8">
        <f>VLOOKUP(A25,'[1]16_APOLICE_FP'!B:H,5,0)</f>
        <v>0</v>
      </c>
      <c r="R25" s="8">
        <f>VLOOKUP(A25,'[1]17_EDAR'!B:F,4,0)</f>
        <v>100</v>
      </c>
      <c r="S25" s="8">
        <f>VLOOKUP(A25,'[1]18_CCTV_360'!B:S,17,0)</f>
        <v>100</v>
      </c>
      <c r="T25" s="8">
        <f>VLOOKUP(A25,'[1]19_NEWS360AI'!B:D,2,0)</f>
        <v>0</v>
      </c>
      <c r="U25" s="8">
        <f>VLOOKUP(A25,'[1]20_eFSL'!B:F,4,0)</f>
        <v>100</v>
      </c>
      <c r="V25" s="8">
        <f>VLOOKUP(A25,'[1]21_UC3'!B:D,2,0)</f>
        <v>0</v>
      </c>
      <c r="W25" s="8">
        <f>VLOOKUP(A25,'[1]22_UC4'!B:D,3,0)</f>
        <v>0</v>
      </c>
    </row>
    <row r="26" spans="1:23" s="9" customFormat="1" ht="26.15" customHeight="1" x14ac:dyDescent="0.35">
      <c r="A26" s="7" t="s">
        <v>47</v>
      </c>
      <c r="B26" s="8">
        <f>VLOOKUP(A26,'[1]1_MEDLEAPR_PME'!B:H,6,0)</f>
        <v>100</v>
      </c>
      <c r="C26" s="8" t="str">
        <f>VLOOKUP(A26,'[1]2_MEDLEAPR_MLC'!B:I,6,0)</f>
        <v>100.00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100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78.783958602846056</v>
      </c>
      <c r="L26" s="8">
        <f>VLOOKUP(A26,'[1]11_CEIR'!B:L,10,0)</f>
        <v>0</v>
      </c>
      <c r="M26" s="8">
        <f>VLOOKUP(A26,'[1]12_EPROSEC'!B:H,4,0)</f>
        <v>100</v>
      </c>
      <c r="N26" s="8">
        <f>VLOOKUP(A26,'[1]13_FIR_CS_COURT'!B:L,11,0)</f>
        <v>73.372602099790981</v>
      </c>
      <c r="O26" s="8">
        <f>VLOOKUP(A26,'[1]14_EOFFICE'!B:K,9,0)</f>
        <v>0</v>
      </c>
      <c r="P26" s="8">
        <f>VLOOKUP(A26,'[1]15_APOLIS'!B:K,10,0)</f>
        <v>97.058823529411768</v>
      </c>
      <c r="Q26" s="8">
        <f>VLOOKUP(A26,'[1]16_APOLICE_FP'!B:H,5,0)</f>
        <v>0</v>
      </c>
      <c r="R26" s="8">
        <f>VLOOKUP(A26,'[1]17_EDAR'!B:F,4,0)</f>
        <v>100</v>
      </c>
      <c r="S26" s="8">
        <f>VLOOKUP(A26,'[1]18_CCTV_360'!B:S,17,0)</f>
        <v>100</v>
      </c>
      <c r="T26" s="8">
        <f>VLOOKUP(A26,'[1]19_NEWS360AI'!B:D,2,0)</f>
        <v>0</v>
      </c>
      <c r="U26" s="8">
        <f>VLOOKUP(A26,'[1]20_eFSL'!B:F,4,0)</f>
        <v>100</v>
      </c>
      <c r="V26" s="8">
        <f>VLOOKUP(A26,'[1]21_UC3'!B:D,2,0)</f>
        <v>0</v>
      </c>
      <c r="W26" s="8">
        <f>VLOOKUP(A26,'[1]22_UC4'!B:D,3,0)</f>
        <v>0</v>
      </c>
    </row>
    <row r="27" spans="1:23" s="9" customFormat="1" ht="26.15" customHeight="1" x14ac:dyDescent="0.35">
      <c r="A27" s="7" t="s">
        <v>48</v>
      </c>
      <c r="B27" s="8" t="str">
        <f>VLOOKUP(A27,'[1]1_MEDLEAPR_PME'!B:H,6,0)</f>
        <v>100.00</v>
      </c>
      <c r="C27" s="8">
        <f>VLOOKUP(A27,'[1]2_MEDLEAPR_MLC'!B:I,6,0)</f>
        <v>100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55.37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55.745721271393641</v>
      </c>
      <c r="L27" s="8">
        <f>VLOOKUP(A27,'[1]11_CEIR'!B:L,10,0)</f>
        <v>0</v>
      </c>
      <c r="M27" s="8">
        <f>VLOOKUP(A27,'[1]12_EPROSEC'!B:H,4,0)</f>
        <v>0</v>
      </c>
      <c r="N27" s="8">
        <f>VLOOKUP(A27,'[1]13_FIR_CS_COURT'!B:L,11,0)</f>
        <v>86.00641539695269</v>
      </c>
      <c r="O27" s="8">
        <f>VLOOKUP(A27,'[1]14_EOFFICE'!B:K,9,0)</f>
        <v>0</v>
      </c>
      <c r="P27" s="8">
        <f>VLOOKUP(A27,'[1]15_APOLIS'!B:K,10,0)</f>
        <v>96.428571428571431</v>
      </c>
      <c r="Q27" s="8">
        <f>VLOOKUP(A27,'[1]16_APOLICE_FP'!B:H,5,0)</f>
        <v>0</v>
      </c>
      <c r="R27" s="8">
        <f>VLOOKUP(A27,'[1]17_EDAR'!B:F,4,0)</f>
        <v>100</v>
      </c>
      <c r="S27" s="8">
        <f>VLOOKUP(A27,'[1]18_CCTV_360'!B:S,17,0)</f>
        <v>50</v>
      </c>
      <c r="T27" s="8">
        <f>VLOOKUP(A27,'[1]19_NEWS360AI'!B:D,2,0)</f>
        <v>0</v>
      </c>
      <c r="U27" s="8">
        <f>VLOOKUP(A27,'[1]20_eFSL'!B:F,4,0)</f>
        <v>100</v>
      </c>
      <c r="V27" s="8">
        <f>VLOOKUP(A27,'[1]21_UC3'!B:D,2,0)</f>
        <v>0</v>
      </c>
      <c r="W27" s="8">
        <f>VLOOKUP(A27,'[1]22_UC4'!B:D,3,0)</f>
        <v>0</v>
      </c>
    </row>
    <row r="28" spans="1:23" s="9" customFormat="1" ht="26.15" customHeight="1" x14ac:dyDescent="0.35">
      <c r="A28" s="7" t="s">
        <v>49</v>
      </c>
      <c r="B28" s="8">
        <f>VLOOKUP(A28,'[1]1_MEDLEAPR_PME'!B:H,6,0)</f>
        <v>100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98.87</v>
      </c>
      <c r="G28" s="8">
        <f>VLOOKUP(A28,'[1]6_CCTNS_1_7'!B:P,13,0)</f>
        <v>100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92.694063926940643</v>
      </c>
      <c r="L28" s="8">
        <f>VLOOKUP(A28,'[1]11_CEIR'!B:L,10,0)</f>
        <v>0</v>
      </c>
      <c r="M28" s="8">
        <f>VLOOKUP(A28,'[1]12_EPROSEC'!B:H,4,0)</f>
        <v>100</v>
      </c>
      <c r="N28" s="8">
        <f>VLOOKUP(A28,'[1]13_FIR_CS_COURT'!B:L,11,0)</f>
        <v>82.481481481481481</v>
      </c>
      <c r="O28" s="8">
        <f>VLOOKUP(A28,'[1]14_EOFFICE'!B:K,9,0)</f>
        <v>0</v>
      </c>
      <c r="P28" s="8">
        <f>VLOOKUP(A28,'[1]15_APOLIS'!B:K,10,0)</f>
        <v>95.833333333333343</v>
      </c>
      <c r="Q28" s="8">
        <f>VLOOKUP(A28,'[1]16_APOLICE_FP'!B:H,5,0)</f>
        <v>0</v>
      </c>
      <c r="R28" s="8">
        <f>VLOOKUP(A28,'[1]17_EDAR'!B:F,4,0)</f>
        <v>100</v>
      </c>
      <c r="S28" s="8">
        <f>VLOOKUP(A28,'[1]18_CCTV_360'!B:S,17,0)</f>
        <v>92.857142857142861</v>
      </c>
      <c r="T28" s="8">
        <f>VLOOKUP(A28,'[1]19_NEWS360AI'!B:D,2,0)</f>
        <v>0</v>
      </c>
      <c r="U28" s="8">
        <f>VLOOKUP(A28,'[1]20_eFSL'!B:F,4,0)</f>
        <v>100</v>
      </c>
      <c r="V28" s="8">
        <f>VLOOKUP(A28,'[1]21_UC3'!B:D,2,0)</f>
        <v>0</v>
      </c>
      <c r="W28" s="8">
        <f>VLOOKUP(A28,'[1]22_UC4'!B:D,3,0)</f>
        <v>0</v>
      </c>
    </row>
    <row r="29" spans="1:23" s="9" customFormat="1" ht="26.15" customHeight="1" x14ac:dyDescent="0.35">
      <c r="A29" s="7" t="s">
        <v>50</v>
      </c>
      <c r="B29" s="8" t="str">
        <f>VLOOKUP(A29,'[1]1_MEDLEAPR_PME'!B:H,6,0)</f>
        <v>100.00</v>
      </c>
      <c r="C29" s="8">
        <f>VLOOKUP(A29,'[1]2_MEDLEAPR_MLC'!B:I,6,0)</f>
        <v>100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95.79</v>
      </c>
      <c r="G29" s="8">
        <f>VLOOKUP(A29,'[1]6_CCTNS_1_7'!B:P,13,0)</f>
        <v>61.52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67.521367521367523</v>
      </c>
      <c r="L29" s="8">
        <f>VLOOKUP(A29,'[1]11_CEIR'!B:L,10,0)</f>
        <v>0</v>
      </c>
      <c r="M29" s="8">
        <f>VLOOKUP(A29,'[1]12_EPROSEC'!B:H,4,0)</f>
        <v>100</v>
      </c>
      <c r="N29" s="8">
        <f>VLOOKUP(A29,'[1]13_FIR_CS_COURT'!B:L,11,0)</f>
        <v>83.950617283950606</v>
      </c>
      <c r="O29" s="8">
        <f>VLOOKUP(A29,'[1]14_EOFFICE'!B:K,9,0)</f>
        <v>0</v>
      </c>
      <c r="P29" s="8">
        <f>VLOOKUP(A29,'[1]15_APOLIS'!B:K,10,0)</f>
        <v>95.833333333333343</v>
      </c>
      <c r="Q29" s="8">
        <f>VLOOKUP(A29,'[1]16_APOLICE_FP'!B:H,5,0)</f>
        <v>0</v>
      </c>
      <c r="R29" s="8">
        <f>VLOOKUP(A29,'[1]17_EDAR'!B:F,4,0)</f>
        <v>100</v>
      </c>
      <c r="S29" s="8">
        <f>VLOOKUP(A29,'[1]18_CCTV_360'!B:S,17,0)</f>
        <v>57.142857142857139</v>
      </c>
      <c r="T29" s="8">
        <f>VLOOKUP(A29,'[1]19_NEWS360AI'!B:D,2,0)</f>
        <v>0</v>
      </c>
      <c r="U29" s="8">
        <f>VLOOKUP(A29,'[1]20_eFSL'!B:F,4,0)</f>
        <v>100</v>
      </c>
      <c r="V29" s="8">
        <f>VLOOKUP(A29,'[1]21_UC3'!B:D,2,0)</f>
        <v>0</v>
      </c>
      <c r="W29" s="8">
        <f>VLOOKUP(A29,'[1]22_UC4'!B:D,3,0)</f>
        <v>0</v>
      </c>
    </row>
    <row r="30" spans="1:23" s="9" customFormat="1" ht="26.15" customHeight="1" x14ac:dyDescent="0.35">
      <c r="A30" s="7" t="s">
        <v>51</v>
      </c>
      <c r="B30" s="8">
        <f>VLOOKUP(A30,'[1]1_MEDLEAPR_PME'!B:H,6,0)</f>
        <v>100</v>
      </c>
      <c r="C30" s="8" t="str">
        <f>VLOOKUP(A30,'[1]2_MEDLEAPR_MLC'!B:I,6,0)</f>
        <v>100.00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78.81</v>
      </c>
      <c r="G30" s="8">
        <f>VLOOKUP(A30,'[1]6_CCTNS_1_7'!B:P,13,0)</f>
        <v>67.67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88.347457627118644</v>
      </c>
      <c r="L30" s="8">
        <f>VLOOKUP(A30,'[1]11_CEIR'!B:L,10,0)</f>
        <v>0</v>
      </c>
      <c r="M30" s="8">
        <f>VLOOKUP(A30,'[1]12_EPROSEC'!B:H,4,0)</f>
        <v>100</v>
      </c>
      <c r="N30" s="8">
        <f>VLOOKUP(A30,'[1]13_FIR_CS_COURT'!B:L,11,0)</f>
        <v>82.895871373503752</v>
      </c>
      <c r="O30" s="8">
        <f>VLOOKUP(A30,'[1]14_EOFFICE'!B:K,9,0)</f>
        <v>0</v>
      </c>
      <c r="P30" s="8">
        <f>VLOOKUP(A30,'[1]15_APOLIS'!B:K,10,0)</f>
        <v>95.833333333333343</v>
      </c>
      <c r="Q30" s="8">
        <f>VLOOKUP(A30,'[1]16_APOLICE_FP'!B:H,5,0)</f>
        <v>0</v>
      </c>
      <c r="R30" s="8">
        <f>VLOOKUP(A30,'[1]17_EDAR'!B:F,4,0)</f>
        <v>100</v>
      </c>
      <c r="S30" s="8">
        <f>VLOOKUP(A30,'[1]18_CCTV_360'!B:S,17,0)</f>
        <v>85.714285714285708</v>
      </c>
      <c r="T30" s="8">
        <f>VLOOKUP(A30,'[1]19_NEWS360AI'!B:D,2,0)</f>
        <v>0</v>
      </c>
      <c r="U30" s="8">
        <f>VLOOKUP(A30,'[1]20_eFSL'!B:F,4,0)</f>
        <v>100</v>
      </c>
      <c r="V30" s="8">
        <f>VLOOKUP(A30,'[1]21_UC3'!B:D,2,0)</f>
        <v>0</v>
      </c>
      <c r="W30" s="8">
        <f>VLOOKUP(A30,'[1]22_UC4'!B:D,3,0)</f>
        <v>0</v>
      </c>
    </row>
    <row r="31" spans="1:23" s="9" customFormat="1" ht="26.15" customHeight="1" x14ac:dyDescent="0.35">
      <c r="A31" s="7" t="s">
        <v>52</v>
      </c>
      <c r="B31" s="8">
        <f>VLOOKUP(A31,'[1]1_MEDLEAPR_PME'!B:H,6,0)</f>
        <v>100</v>
      </c>
      <c r="C31" s="8" t="str">
        <f>VLOOKUP(A31,'[1]2_MEDLEAPR_MLC'!B:I,6,0)</f>
        <v>100.00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90.71</v>
      </c>
      <c r="G31" s="8">
        <f>VLOOKUP(A31,'[1]6_CCTNS_1_7'!B:P,13,0)</f>
        <v>86.13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47.113594040968344</v>
      </c>
      <c r="L31" s="8">
        <f>VLOOKUP(A31,'[1]11_CEIR'!B:L,10,0)</f>
        <v>0</v>
      </c>
      <c r="M31" s="8">
        <f>VLOOKUP(A31,'[1]12_EPROSEC'!B:H,4,0)</f>
        <v>100</v>
      </c>
      <c r="N31" s="8">
        <f>VLOOKUP(A31,'[1]13_FIR_CS_COURT'!B:L,11,0)</f>
        <v>68.491200032782174</v>
      </c>
      <c r="O31" s="8">
        <f>VLOOKUP(A31,'[1]14_EOFFICE'!B:K,9,0)</f>
        <v>0</v>
      </c>
      <c r="P31" s="8">
        <f>VLOOKUP(A31,'[1]15_APOLIS'!B:K,10,0)</f>
        <v>96.428571428571431</v>
      </c>
      <c r="Q31" s="8">
        <f>VLOOKUP(A31,'[1]16_APOLICE_FP'!B:H,5,0)</f>
        <v>0</v>
      </c>
      <c r="R31" s="8">
        <f>VLOOKUP(A31,'[1]17_EDAR'!B:F,4,0)</f>
        <v>100</v>
      </c>
      <c r="S31" s="8">
        <f>VLOOKUP(A31,'[1]18_CCTV_360'!B:S,17,0)</f>
        <v>100</v>
      </c>
      <c r="T31" s="8">
        <f>VLOOKUP(A31,'[1]19_NEWS360AI'!B:D,2,0)</f>
        <v>0</v>
      </c>
      <c r="U31" s="8">
        <f>VLOOKUP(A31,'[1]20_eFSL'!B:F,4,0)</f>
        <v>100</v>
      </c>
      <c r="V31" s="8">
        <f>VLOOKUP(A31,'[1]21_UC3'!B:D,2,0)</f>
        <v>0</v>
      </c>
      <c r="W31" s="8">
        <f>VLOOKUP(A31,'[1]22_UC4'!B:D,3,0)</f>
        <v>0</v>
      </c>
    </row>
    <row r="32" spans="1:23" s="9" customFormat="1" ht="26.15" customHeight="1" x14ac:dyDescent="0.35">
      <c r="A32" s="7" t="s">
        <v>53</v>
      </c>
      <c r="B32" s="8">
        <f>VLOOKUP(A32,'[1]1_MEDLEAPR_PME'!B:H,6,0)</f>
        <v>100</v>
      </c>
      <c r="C32" s="8" t="str">
        <f>VLOOKUP(A32,'[1]2_MEDLEAPR_MLC'!B:I,6,0)</f>
        <v>100.00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89.39</v>
      </c>
      <c r="G32" s="8">
        <f>VLOOKUP(A32,'[1]6_CCTNS_1_7'!B:P,13,0)</f>
        <v>100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91.79331306990882</v>
      </c>
      <c r="L32" s="8">
        <f>VLOOKUP(A32,'[1]11_CEIR'!B:L,10,0)</f>
        <v>0</v>
      </c>
      <c r="M32" s="8">
        <f>VLOOKUP(A32,'[1]12_EPROSEC'!B:H,4,0)</f>
        <v>100</v>
      </c>
      <c r="N32" s="8">
        <f>VLOOKUP(A32,'[1]13_FIR_CS_COURT'!B:L,11,0)</f>
        <v>77.813852813852805</v>
      </c>
      <c r="O32" s="8">
        <f>VLOOKUP(A32,'[1]14_EOFFICE'!B:K,9,0)</f>
        <v>0</v>
      </c>
      <c r="P32" s="8">
        <f>VLOOKUP(A32,'[1]15_APOLIS'!B:K,10,0)</f>
        <v>96.428571428571431</v>
      </c>
      <c r="Q32" s="8">
        <f>VLOOKUP(A32,'[1]16_APOLICE_FP'!B:H,5,0)</f>
        <v>0</v>
      </c>
      <c r="R32" s="8">
        <f>VLOOKUP(A32,'[1]17_EDAR'!B:F,4,0)</f>
        <v>100</v>
      </c>
      <c r="S32" s="8">
        <f>VLOOKUP(A32,'[1]18_CCTV_360'!B:S,17,0)</f>
        <v>50</v>
      </c>
      <c r="T32" s="8">
        <f>VLOOKUP(A32,'[1]19_NEWS360AI'!B:D,2,0)</f>
        <v>0</v>
      </c>
      <c r="U32" s="8">
        <f>VLOOKUP(A32,'[1]20_eFSL'!B:F,4,0)</f>
        <v>100</v>
      </c>
      <c r="V32" s="8">
        <f>VLOOKUP(A32,'[1]21_UC3'!B:D,2,0)</f>
        <v>0</v>
      </c>
      <c r="W32" s="8">
        <f>VLOOKUP(A32,'[1]22_UC4'!B:D,3,0)</f>
        <v>0</v>
      </c>
    </row>
    <row r="33" spans="1:23" s="9" customFormat="1" ht="26.15" customHeight="1" x14ac:dyDescent="0.35">
      <c r="A33" s="7" t="s">
        <v>54</v>
      </c>
      <c r="B33" s="8">
        <f>VLOOKUP(A33,'[1]1_MEDLEAPR_PME'!B:H,6,0)</f>
        <v>100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100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92.507204610951007</v>
      </c>
      <c r="L33" s="8">
        <f>VLOOKUP(A33,'[1]11_CEIR'!B:L,10,0)</f>
        <v>0</v>
      </c>
      <c r="M33" s="8">
        <f>VLOOKUP(A33,'[1]12_EPROSEC'!B:H,4,0)</f>
        <v>100</v>
      </c>
      <c r="N33" s="8">
        <f>VLOOKUP(A33,'[1]13_FIR_CS_COURT'!B:L,11,0)</f>
        <v>82.234432234432234</v>
      </c>
      <c r="O33" s="8">
        <f>VLOOKUP(A33,'[1]14_EOFFICE'!B:K,9,0)</f>
        <v>0</v>
      </c>
      <c r="P33" s="8">
        <f>VLOOKUP(A33,'[1]15_APOLIS'!B:K,10,0)</f>
        <v>95</v>
      </c>
      <c r="Q33" s="8">
        <f>VLOOKUP(A33,'[1]16_APOLICE_FP'!B:H,5,0)</f>
        <v>0</v>
      </c>
      <c r="R33" s="8">
        <f>VLOOKUP(A33,'[1]17_EDAR'!B:F,4,0)</f>
        <v>100</v>
      </c>
      <c r="S33" s="8">
        <f>VLOOKUP(A33,'[1]18_CCTV_360'!B:S,17,0)</f>
        <v>100</v>
      </c>
      <c r="T33" s="8">
        <f>VLOOKUP(A33,'[1]19_NEWS360AI'!B:D,2,0)</f>
        <v>0</v>
      </c>
      <c r="U33" s="8">
        <f>VLOOKUP(A33,'[1]20_eFSL'!B:F,4,0)</f>
        <v>100</v>
      </c>
      <c r="V33" s="8">
        <f>VLOOKUP(A33,'[1]21_UC3'!B:D,2,0)</f>
        <v>0</v>
      </c>
      <c r="W33" s="8">
        <f>VLOOKUP(A33,'[1]22_UC4'!B:D,3,0)</f>
        <v>0</v>
      </c>
    </row>
    <row r="34" spans="1:23" s="9" customFormat="1" ht="26.15" customHeight="1" x14ac:dyDescent="0.35">
      <c r="A34" s="7" t="s">
        <v>55</v>
      </c>
      <c r="B34" s="8" t="str">
        <f>VLOOKUP(A34,'[1]1_MEDLEAPR_PME'!B:H,6,0)</f>
        <v>100.00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100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80.6949806949807</v>
      </c>
      <c r="L34" s="8">
        <f>VLOOKUP(A34,'[1]11_CEIR'!B:L,10,0)</f>
        <v>0</v>
      </c>
      <c r="M34" s="8">
        <f>VLOOKUP(A34,'[1]12_EPROSEC'!B:H,4,0)</f>
        <v>100</v>
      </c>
      <c r="N34" s="8">
        <f>VLOOKUP(A34,'[1]13_FIR_CS_COURT'!B:L,11,0)</f>
        <v>77.056836248012715</v>
      </c>
      <c r="O34" s="8">
        <f>VLOOKUP(A34,'[1]14_EOFFICE'!B:K,9,0)</f>
        <v>0</v>
      </c>
      <c r="P34" s="8">
        <f>VLOOKUP(A34,'[1]15_APOLIS'!B:K,10,0)</f>
        <v>95</v>
      </c>
      <c r="Q34" s="8">
        <f>VLOOKUP(A34,'[1]16_APOLICE_FP'!B:H,5,0)</f>
        <v>0</v>
      </c>
      <c r="R34" s="8">
        <f>VLOOKUP(A34,'[1]17_EDAR'!B:F,4,0)</f>
        <v>100</v>
      </c>
      <c r="S34" s="8">
        <f>VLOOKUP(A34,'[1]18_CCTV_360'!B:S,17,0)</f>
        <v>100</v>
      </c>
      <c r="T34" s="8">
        <f>VLOOKUP(A34,'[1]19_NEWS360AI'!B:D,2,0)</f>
        <v>0</v>
      </c>
      <c r="U34" s="8">
        <f>VLOOKUP(A34,'[1]20_eFSL'!B:F,4,0)</f>
        <v>100</v>
      </c>
      <c r="V34" s="8">
        <f>VLOOKUP(A34,'[1]21_UC3'!B:D,2,0)</f>
        <v>0</v>
      </c>
      <c r="W34" s="8">
        <f>VLOOKUP(A34,'[1]22_UC4'!B:D,3,0)</f>
        <v>0</v>
      </c>
    </row>
    <row r="35" spans="1:23" s="9" customFormat="1" ht="26.15" customHeight="1" x14ac:dyDescent="0.35">
      <c r="A35" s="7" t="s">
        <v>56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81.59</v>
      </c>
      <c r="G35" s="8">
        <f>VLOOKUP(A35,'[1]6_CCTNS_1_7'!B:P,13,0)</f>
        <v>50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82.608695652173907</v>
      </c>
      <c r="L35" s="8">
        <f>VLOOKUP(A35,'[1]11_CEIR'!B:L,10,0)</f>
        <v>0</v>
      </c>
      <c r="M35" s="8">
        <f>VLOOKUP(A35,'[1]12_EPROSEC'!B:H,4,0)</f>
        <v>100</v>
      </c>
      <c r="N35" s="8">
        <f>VLOOKUP(A35,'[1]13_FIR_CS_COURT'!B:L,11,0)</f>
        <v>50</v>
      </c>
      <c r="O35" s="8">
        <f>VLOOKUP(A35,'[1]14_EOFFICE'!B:K,9,0)</f>
        <v>0</v>
      </c>
      <c r="P35" s="8">
        <f>VLOOKUP(A35,'[1]15_APOLIS'!B:K,10,0)</f>
        <v>93.75</v>
      </c>
      <c r="Q35" s="8">
        <f>VLOOKUP(A35,'[1]16_APOLICE_FP'!B:H,5,0)</f>
        <v>0</v>
      </c>
      <c r="R35" s="8">
        <f>VLOOKUP(A35,'[1]17_EDAR'!B:F,4,0)</f>
        <v>100</v>
      </c>
      <c r="S35" s="8">
        <f>VLOOKUP(A35,'[1]18_CCTV_360'!B:S,17,0)</f>
        <v>100</v>
      </c>
      <c r="T35" s="8">
        <f>VLOOKUP(A35,'[1]19_NEWS360AI'!B:D,2,0)</f>
        <v>0</v>
      </c>
      <c r="U35" s="8">
        <f>VLOOKUP(A35,'[1]20_eFSL'!B:F,4,0)</f>
        <v>100</v>
      </c>
      <c r="V35" s="8">
        <f>VLOOKUP(A35,'[1]21_UC3'!B:D,2,0)</f>
        <v>0</v>
      </c>
      <c r="W35" s="8">
        <f>VLOOKUP(A35,'[1]22_UC4'!B:D,3,0)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Itcore Anakapalli</cp:lastModifiedBy>
  <dcterms:created xsi:type="dcterms:W3CDTF">2026-10-08T04:05:16Z</dcterms:created>
  <dcterms:modified xsi:type="dcterms:W3CDTF">2026-10-08T04:06:51Z</dcterms:modified>
</cp:coreProperties>
</file>